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Denne_projektmappe"/>
  <mc:AlternateContent xmlns:mc="http://schemas.openxmlformats.org/markup-compatibility/2006">
    <mc:Choice Requires="x15">
      <x15ac:absPath xmlns:x15ac="http://schemas.microsoft.com/office/spreadsheetml/2010/11/ac" url="C:\Users\w22093\Desktop\FEATURE\Ny filteropsætning\"/>
    </mc:Choice>
  </mc:AlternateContent>
  <xr:revisionPtr revIDLastSave="0" documentId="13_ncr:1_{DA4C0425-6122-4E35-B00C-3EF03057901C}" xr6:coauthVersionLast="41" xr6:coauthVersionMax="41" xr10:uidLastSave="{00000000-0000-0000-0000-000000000000}"/>
  <bookViews>
    <workbookView xWindow="-110" yWindow="-110" windowWidth="19420" windowHeight="10560" xr2:uid="{00000000-000D-0000-FFFF-FFFF00000000}"/>
  </bookViews>
  <sheets>
    <sheet name="Start" sheetId="7" r:id="rId1"/>
    <sheet name="Regler" sheetId="2" r:id="rId2"/>
    <sheet name="Snippets" sheetId="3" r:id="rId3"/>
    <sheet name="Formulering" sheetId="4" r:id="rId4"/>
    <sheet name="Specification" sheetId="6" r:id="rId5"/>
    <sheet name="Configuration" sheetId="5" r:id="rId6"/>
    <sheet name="Test" sheetId="8" r:id="rId7"/>
    <sheet name="Version" sheetId="9" r:id="rId8"/>
  </sheets>
  <functionGroups builtInGroupCount="19"/>
  <definedNames>
    <definedName name="_xlnm._FilterDatabase" localSheetId="5" hidden="1">Configuration!$A$2:$K$2</definedName>
    <definedName name="_xlnm._FilterDatabase" localSheetId="1" hidden="1">Regler!$A$1:$H$81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" i="8" l="1"/>
  <c r="L4" i="8"/>
  <c r="Y3" i="8"/>
  <c r="L3" i="8"/>
  <c r="Y4" i="8" l="1"/>
</calcChain>
</file>

<file path=xl/sharedStrings.xml><?xml version="1.0" encoding="utf-8"?>
<sst xmlns="http://schemas.openxmlformats.org/spreadsheetml/2006/main" count="1170" uniqueCount="381">
  <si>
    <t>ID</t>
  </si>
  <si>
    <t>Hard Rule</t>
  </si>
  <si>
    <t>Has Specification</t>
  </si>
  <si>
    <t>Has Configuration</t>
  </si>
  <si>
    <t>Rule</t>
  </si>
  <si>
    <t>R_1_1</t>
  </si>
  <si>
    <t>YES</t>
  </si>
  <si>
    <t>NO</t>
  </si>
  <si>
    <t>Fordringartkode = 'INDR' OR 'MODR'</t>
  </si>
  <si>
    <t>R_1_2</t>
  </si>
  <si>
    <r>
      <t>IF</t>
    </r>
    <r>
      <rPr>
        <b/>
        <sz val="11"/>
        <color theme="1"/>
        <rFont val="Calibri"/>
        <family val="2"/>
        <scheme val="minor"/>
      </rPr>
      <t xml:space="preserve"> MainClaim</t>
    </r>
    <r>
      <rPr>
        <sz val="11"/>
        <color theme="1"/>
        <rFont val="Calibri"/>
        <family val="2"/>
        <scheme val="minor"/>
      </rPr>
      <t xml:space="preserve"> THEN ClaimID=MainClaimID ELSE ClaimID&lt;&gt;MainClaimID </t>
    </r>
  </si>
  <si>
    <t>R_2_1a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</si>
  <si>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AND Doms-/Forligsdato IS NOT NULL THEN max(Doms-/Forligsdato) + 10 år &lt;= FordringshaverForældelsesdato</t>
    </r>
  </si>
  <si>
    <t>R_2_1b</t>
  </si>
  <si>
    <t>R_2_1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</si>
  <si>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FordringshaverForældelsesdato IS NOT NULL</t>
    </r>
  </si>
  <si>
    <t>R_2_2a</t>
  </si>
  <si>
    <r>
      <t xml:space="preserve">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</si>
  <si>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R_2_2</t>
  </si>
  <si>
    <t>R_2_3a</t>
  </si>
  <si>
    <r>
      <t xml:space="preserve">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</si>
  <si>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R_2_3</t>
  </si>
  <si>
    <t>R_2_4a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</si>
  <si>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</si>
  <si>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R_2_4</t>
  </si>
  <si>
    <t>R_2_5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</si>
  <si>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</si>
  <si>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R_2_6</t>
  </si>
  <si>
    <t>R_2_7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</si>
  <si>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 xml:space="preserve">[Duration] </t>
    </r>
    <r>
      <rPr>
        <sz val="11"/>
        <color theme="1"/>
        <rFont val="Calibri"/>
        <family val="2"/>
        <scheme val="minor"/>
      </rPr>
      <t>&lt;= FordringshaverForældelsesdato</t>
    </r>
  </si>
  <si>
    <t>R_2_8</t>
  </si>
  <si>
    <t>R_3_1</t>
  </si>
  <si>
    <t>Fordringens modtagelsesdato &lt;= FordringshaverForældelsesdato</t>
  </si>
  <si>
    <t>R_3_2</t>
  </si>
  <si>
    <r>
      <t xml:space="preserve">Fordringens modtagelsesdato &lt;= StiftelsesDato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</si>
  <si>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R_3_3</t>
  </si>
  <si>
    <r>
      <t>Fordringens modtagelsesdato &lt;= ForfaldDato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</si>
  <si>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</si>
  <si>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</t>
    </r>
    <r>
      <rPr>
        <b/>
        <sz val="11"/>
        <color theme="1"/>
        <rFont val="Calibri"/>
        <family val="2"/>
        <scheme val="minor"/>
      </rPr>
      <t>Fordringens modtagelsesdato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</si>
  <si>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</t>
  </si>
  <si>
    <r>
      <t xml:space="preserve">Fordringens modtagelsesdato &lt;= SRBDato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</si>
  <si>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R_3_5</t>
  </si>
  <si>
    <r>
      <t xml:space="preserve">Fordringens modtagelsesdato &lt;= FordringsStartDato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</si>
  <si>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R_3_6</t>
  </si>
  <si>
    <r>
      <t>Fordringens modtagelsesdato &lt;= FordringsSlutDato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</si>
  <si>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R_4_1</t>
  </si>
  <si>
    <t>Hovedstol &gt; 0 OR 0-fordring (HF, hvor hovedstol og beløb = 0)</t>
  </si>
  <si>
    <t>R_4_2</t>
  </si>
  <si>
    <r>
      <rPr>
        <b/>
        <sz val="11"/>
        <rFont val="Calibri"/>
        <family val="2"/>
        <scheme val="minor"/>
      </rPr>
      <t>[Quantity := 0]</t>
    </r>
    <r>
      <rPr>
        <sz val="11"/>
        <rFont val="Calibri"/>
        <family val="2"/>
        <scheme val="minor"/>
      </rPr>
      <t xml:space="preserve"> &lt;= Hovedstol &lt;= </t>
    </r>
    <r>
      <rPr>
        <b/>
        <sz val="11"/>
        <rFont val="Calibri"/>
        <family val="2"/>
        <scheme val="minor"/>
      </rPr>
      <t>[Amount]</t>
    </r>
  </si>
  <si>
    <t>R_4_3</t>
  </si>
  <si>
    <r>
      <t xml:space="preserve">Hovedstol &lt;= PeriodDays * </t>
    </r>
    <r>
      <rPr>
        <b/>
        <sz val="11"/>
        <rFont val="Calibri"/>
        <family val="2"/>
        <scheme val="minor"/>
      </rPr>
      <t>[Amount]</t>
    </r>
  </si>
  <si>
    <t>R_4_4</t>
  </si>
  <si>
    <t>Fordringsbeløb &gt;= 0</t>
  </si>
  <si>
    <t>R_4_5</t>
  </si>
  <si>
    <r>
      <rPr>
        <b/>
        <sz val="11"/>
        <color theme="1"/>
        <rFont val="Calibri"/>
        <family val="2"/>
        <scheme val="minor"/>
      </rPr>
      <t>[Quantity := 0]</t>
    </r>
    <r>
      <rPr>
        <sz val="11"/>
        <color theme="1"/>
        <rFont val="Calibri"/>
        <family val="2"/>
        <scheme val="minor"/>
      </rPr>
      <t xml:space="preserve"> &lt;= Fordringsbeløb &lt;= </t>
    </r>
    <r>
      <rPr>
        <b/>
        <sz val="11"/>
        <color theme="1"/>
        <rFont val="Calibri"/>
        <family val="2"/>
        <scheme val="minor"/>
      </rPr>
      <t>[Amount]</t>
    </r>
  </si>
  <si>
    <t>R_4_6</t>
  </si>
  <si>
    <r>
      <t xml:space="preserve">Fordringsbeløb &lt;= PeriodDays * </t>
    </r>
    <r>
      <rPr>
        <b/>
        <sz val="11"/>
        <color theme="1"/>
        <rFont val="Calibri"/>
        <family val="2"/>
        <scheme val="minor"/>
      </rPr>
      <t>[Amount]</t>
    </r>
  </si>
  <si>
    <t>R_4_7</t>
  </si>
  <si>
    <t>Hovedstol &gt;= Fordringsbeløb</t>
  </si>
  <si>
    <t>R_5_1</t>
  </si>
  <si>
    <t>Forfaldsdato &lt; Fordringens modtagelsesdato</t>
  </si>
  <si>
    <t>R_5_2</t>
  </si>
  <si>
    <t>SRBdato &lt; Fordringens modtagelsesdato</t>
  </si>
  <si>
    <t>R_5_3</t>
  </si>
  <si>
    <t>Stiftelsesdato &lt; Fordringens modtagelsesdato</t>
  </si>
  <si>
    <t>R_5_4</t>
  </si>
  <si>
    <r>
      <t xml:space="preserve">FordringsStartDato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</si>
  <si>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R_5_5</t>
  </si>
  <si>
    <r>
      <t xml:space="preserve">FordringsSlutDato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</si>
  <si>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R_6_1</t>
  </si>
  <si>
    <r>
      <t xml:space="preserve">ForfaldDato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</si>
  <si>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R_6_2</t>
  </si>
  <si>
    <r>
      <t xml:space="preserve">    SRBDato &lt;= ForfaldDato + </t>
    </r>
    <r>
      <rPr>
        <b/>
        <sz val="11"/>
        <color theme="1"/>
        <rFont val="Calibri"/>
        <family val="2"/>
        <scheme val="minor"/>
      </rPr>
      <t>[Duration]</t>
    </r>
  </si>
  <si>
    <t>R_6_3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</si>
  <si>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</si>
  <si>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R_6_4</t>
  </si>
  <si>
    <r>
      <t xml:space="preserve">    ForfaldDato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</si>
  <si>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</si>
  <si>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</si>
  <si>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R_6_6</t>
  </si>
  <si>
    <r>
      <t xml:space="preserve">    ForfaldDato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</si>
  <si>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</si>
  <si>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</si>
  <si>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R_6_8</t>
  </si>
  <si>
    <r>
      <t xml:space="preserve">    ForfaldDato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</si>
  <si>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R_6_9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</si>
  <si>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</si>
  <si>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R_6_10</t>
  </si>
  <si>
    <r>
      <t xml:space="preserve">    SRBDato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</si>
  <si>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R_6_11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</si>
  <si>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</si>
  <si>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R_6_12</t>
  </si>
  <si>
    <r>
      <t xml:space="preserve">    SRBDato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</si>
  <si>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R_6_13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</si>
  <si>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 </t>
    </r>
  </si>
  <si>
    <t>R_6_14</t>
  </si>
  <si>
    <r>
      <t xml:space="preserve">    SRBDato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</si>
  <si>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</si>
  <si>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</t>
    </r>
  </si>
  <si>
    <t>R_6_16</t>
  </si>
  <si>
    <r>
      <t xml:space="preserve">     StiftelsesDato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</si>
  <si>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</si>
  <si>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 </t>
    </r>
  </si>
  <si>
    <t>R_6_18</t>
  </si>
  <si>
    <r>
      <t xml:space="preserve">    StiftelsesDato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</si>
  <si>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R_6_19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</si>
  <si>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FordringsSlutDato</t>
    </r>
  </si>
  <si>
    <t>R_6_20</t>
  </si>
  <si>
    <r>
      <t xml:space="preserve">    FordringsSlutDato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</si>
  <si>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R_6_21</t>
  </si>
  <si>
    <r>
      <t xml:space="preserve">Start- og Slutdato er i samme </t>
    </r>
    <r>
      <rPr>
        <b/>
        <sz val="11"/>
        <rFont val="Calibri"/>
        <family val="2"/>
        <scheme val="minor"/>
      </rPr>
      <t>[Quantity]</t>
    </r>
    <r>
      <rPr>
        <sz val="11"/>
        <rFont val="Calibri"/>
        <family val="2"/>
        <scheme val="minor"/>
      </rPr>
      <t xml:space="preserve"> {sum af 1: måned; 10: kvartal; 100: halvår; 1000: år; hvis 0: år}</t>
    </r>
  </si>
  <si>
    <t>R_7_1</t>
  </si>
  <si>
    <t>Stiftelsesdato SKAL udfyldes</t>
  </si>
  <si>
    <t>R_7_2</t>
  </si>
  <si>
    <t>Forfaldsdato SKAL udfyldes</t>
  </si>
  <si>
    <t>R_7_3</t>
  </si>
  <si>
    <t>SRBdato SKAL udfyldes</t>
  </si>
  <si>
    <t>R_7_4</t>
  </si>
  <si>
    <t>FordringsStartDato SKAL udfyldes</t>
  </si>
  <si>
    <t>R_7_5</t>
  </si>
  <si>
    <t>FordringsSlutDato SKAL udfyldes</t>
  </si>
  <si>
    <t>R_7_6</t>
  </si>
  <si>
    <t>Stiftelsesdato må IKKE udfyldes</t>
  </si>
  <si>
    <t>R_7_7</t>
  </si>
  <si>
    <t>Forfaldsdato må IKKE udfyldes</t>
  </si>
  <si>
    <t>R_7_8</t>
  </si>
  <si>
    <t>SRBdato må IKKE udfyldes</t>
  </si>
  <si>
    <t>R_7_9</t>
  </si>
  <si>
    <t>FordringsStartDato må IKKE udfyldes</t>
  </si>
  <si>
    <t>R_7_10</t>
  </si>
  <si>
    <t>FordringsSlutDato må IKKE udfyldes</t>
  </si>
  <si>
    <t>R_7_11</t>
  </si>
  <si>
    <t>FordringsBeskrivelse SKAL udfyldes</t>
  </si>
  <si>
    <t>R_7_12a</t>
  </si>
  <si>
    <t>Domsdato XOR Forligsdato</t>
  </si>
  <si>
    <t>R_7_12</t>
  </si>
  <si>
    <t>R_8_1</t>
  </si>
  <si>
    <t>FOR ALL Claims WHERE MainClaimID is Identical AND FordringsTypeKategori IN ("IR, "OR") No Periods May Overlap</t>
  </si>
  <si>
    <t>Perioderne for en hovedfordrings renteunderfordringer må ikke overlappe</t>
  </si>
  <si>
    <t>R_9_1</t>
  </si>
  <si>
    <r>
      <t xml:space="preserve">count(Claims WHERE MainClaimID is Identical and FordringsTypeKategori = "OG") &lt;= </t>
    </r>
    <r>
      <rPr>
        <b/>
        <sz val="11"/>
        <color theme="1"/>
        <rFont val="Calibri"/>
        <family val="2"/>
        <scheme val="minor"/>
      </rPr>
      <t>[Quantity]</t>
    </r>
  </si>
  <si>
    <t>R_10_1</t>
  </si>
  <si>
    <t>R_10_2</t>
  </si>
  <si>
    <t>R_10_3</t>
  </si>
  <si>
    <t>R_10_4</t>
  </si>
  <si>
    <t>R_10_5</t>
  </si>
  <si>
    <t>R_10_6</t>
  </si>
  <si>
    <t>R_10_7</t>
  </si>
  <si>
    <t>R_10_8</t>
  </si>
  <si>
    <t>R_10_9</t>
  </si>
  <si>
    <t>R_10_10</t>
  </si>
  <si>
    <r>
      <t>Filterregler for ”&lt;fordringsnavn&gt; (&lt;FORDRINGS_ID&gt;)</t>
    </r>
    <r>
      <rPr>
        <sz val="9"/>
        <color rgb="FFFFFFFF"/>
        <rFont val="Arial"/>
        <family val="2"/>
      </rPr>
      <t>”</t>
    </r>
  </si>
  <si>
    <t>Konsekvens hvis reglen ikke overholdes</t>
  </si>
  <si>
    <t>Fordringen afvises</t>
  </si>
  <si>
    <t>Fordringen sendes i høring</t>
  </si>
  <si>
    <t>Oprindelig hovedstol skal være større end eller lig med beløb til inddrivelse</t>
  </si>
  <si>
    <t>Claimant</t>
  </si>
  <si>
    <t>ClaimType</t>
  </si>
  <si>
    <t>Active</t>
  </si>
  <si>
    <t>Hard rule</t>
  </si>
  <si>
    <t>Quantity</t>
  </si>
  <si>
    <t>Amount</t>
  </si>
  <si>
    <t>Duration: Days</t>
  </si>
  <si>
    <t>Duration: Months</t>
  </si>
  <si>
    <t>Duration: Years</t>
  </si>
  <si>
    <t>OFF</t>
  </si>
  <si>
    <t>MainClaim</t>
  </si>
  <si>
    <t>SendFoko</t>
  </si>
  <si>
    <t>kun 1. regel &amp; dura = 1</t>
  </si>
  <si>
    <t>2. regel: {0} &lt;= {1} + [DURATION]</t>
  </si>
  <si>
    <t>Andet</t>
  </si>
  <si>
    <t>Forældelsesdato</t>
  </si>
  <si>
    <t>Modtagelsesdato</t>
  </si>
  <si>
    <t>Forfaldsdato</t>
  </si>
  <si>
    <t>Stiftelsesdato</t>
  </si>
  <si>
    <t>Hovedstol</t>
  </si>
  <si>
    <t>Fordringbeløb</t>
  </si>
  <si>
    <t>Beskrivelse</t>
  </si>
  <si>
    <t>Periodeoverlap</t>
  </si>
  <si>
    <t>Antalgebyrer</t>
  </si>
  <si>
    <t>{1}</t>
  </si>
  <si>
    <t>{0}</t>
  </si>
  <si>
    <t>Fordringen skal altid være en {0}</t>
  </si>
  <si>
    <t>1. regel: {1} + [DURATION] &lt;=  {0}</t>
  </si>
  <si>
    <t>1, 1</t>
  </si>
  <si>
    <t>-1, -1</t>
  </si>
  <si>
    <t>1, ikke 1</t>
  </si>
  <si>
    <t>ikke 1, 1</t>
  </si>
  <si>
    <t>-1, 0</t>
  </si>
  <si>
    <t>0, -1</t>
  </si>
  <si>
    <t>{0} skal tidligst ligge {2} {1}</t>
  </si>
  <si>
    <t>{0} skal senest ligge {2} {1}</t>
  </si>
  <si>
    <t>{0} skal ligge {2} {1}</t>
  </si>
  <si>
    <t>begge regler er ens (dura &amp; hårdhed)</t>
  </si>
  <si>
    <t>kun 1. regel</t>
  </si>
  <si>
    <t>kun 2. regel</t>
  </si>
  <si>
    <t>Oprindelig hovedstol skal være mindre end eller lig med {0} kr.</t>
  </si>
  <si>
    <t>Oprindelig hovedstol skal være større end 0 kr. (dog tillades 0-fordringer)</t>
  </si>
  <si>
    <t>Ved tryk på 'Generér Formulering' vil aktive regler bliver formuleret og sendt til fanen 'Formulering'</t>
  </si>
  <si>
    <t xml:space="preserve">Ved tryk på 'Gem til fil' vil fanerne 'Formulering', 'Configuration' og 'Specification' blive gemt under filnavn bestående af fordringstype-ID, dato og version. Filen vil ligge i en mappe med FH-ID som navn. </t>
  </si>
  <si>
    <t>Start applikation ved at trykke på Start-knap</t>
  </si>
  <si>
    <t>Udfør den ønskede opsætning. Bemærk at ændringer først er fuldt registreret, når en fane forlades eller der er trykket på Gem.. eller Generér…</t>
  </si>
  <si>
    <t>Relateredes Modtagelsesdato</t>
  </si>
  <si>
    <t>Relateredes Stiftelsesdato</t>
  </si>
  <si>
    <t>Relateredes Forfaldsdato</t>
  </si>
  <si>
    <t>hovedfordrings Modtagelsesdato</t>
  </si>
  <si>
    <t>hovedfordrings Forfaldsdato</t>
  </si>
  <si>
    <t>hovedfordrings Stiftelsesdato</t>
  </si>
  <si>
    <t xml:space="preserve"> </t>
  </si>
  <si>
    <t>DFFMURE</t>
  </si>
  <si>
    <t>Navn + fødselsdato</t>
  </si>
  <si>
    <t>TEST SUITE</t>
  </si>
  <si>
    <t>CLAIM</t>
  </si>
  <si>
    <t>LIABILITY</t>
  </si>
  <si>
    <t>TEST CASE DESCRIPTION</t>
  </si>
  <si>
    <t>TestCase</t>
  </si>
  <si>
    <t>Expected Color</t>
  </si>
  <si>
    <t>ClaimID</t>
  </si>
  <si>
    <t>ClaimAmount</t>
  </si>
  <si>
    <t>PrincipalAmount</t>
  </si>
  <si>
    <t>claimantID</t>
  </si>
  <si>
    <t>claimCategoryCode</t>
  </si>
  <si>
    <t>ClaimTypeCategory</t>
  </si>
  <si>
    <t>claimType</t>
  </si>
  <si>
    <t>claimDescription</t>
  </si>
  <si>
    <t>claimReceivedDate</t>
  </si>
  <si>
    <t>periodFromDate</t>
  </si>
  <si>
    <t>periodToDate</t>
  </si>
  <si>
    <t>creationDate</t>
  </si>
  <si>
    <t>dueDate</t>
  </si>
  <si>
    <t>lastPaymentDate</t>
  </si>
  <si>
    <t>mainClaimID</t>
  </si>
  <si>
    <t>claimID</t>
  </si>
  <si>
    <t>customerID</t>
  </si>
  <si>
    <t>customerType</t>
  </si>
  <si>
    <t>liabilityReceivedDate</t>
  </si>
  <si>
    <t>ClaimantExpirationDate</t>
  </si>
  <si>
    <t>verdictDate</t>
  </si>
  <si>
    <t>settlementDate</t>
  </si>
  <si>
    <t>Regel</t>
  </si>
  <si>
    <t>Hardrule</t>
  </si>
  <si>
    <t>TestResultat</t>
  </si>
  <si>
    <t>ACCEPT</t>
  </si>
  <si>
    <t>INDR</t>
  </si>
  <si>
    <t>HF</t>
  </si>
  <si>
    <t>CPR-Person</t>
  </si>
  <si>
    <t>e</t>
  </si>
  <si>
    <t/>
  </si>
  <si>
    <t>*</t>
  </si>
  <si>
    <t>N/A</t>
  </si>
  <si>
    <t>{0} skal ligge efter {1}</t>
  </si>
  <si>
    <t>Forældelsesdato skal være udfyldt</t>
  </si>
  <si>
    <t>Hvis domsdato eller forligsdato er udfyldt, skal forældelsesdato ligge tidligst 10 år efter domsdato eller forligsdato</t>
  </si>
  <si>
    <t>Forældelsesdato skal ligge senere end eller være lig med modtagelsesdato hos Gældsstyrelsen</t>
  </si>
  <si>
    <t>Oprindelig hovedstol skal ligge mellem eller være lig med {0} kr. og {1} kr.</t>
  </si>
  <si>
    <t>Oprindelig hovedstol skal være mindre end eller lig med {0} kr. pr. dag i perioden</t>
  </si>
  <si>
    <t>Beløb skal være større end eller lig med 0 kr.</t>
  </si>
  <si>
    <t>Forfaldsdato skal ligge forud for modtagelsesdato</t>
  </si>
  <si>
    <t>Sidste rettidige betalingsdato skal ligge forud for modtagelsesdato</t>
  </si>
  <si>
    <t>Stiftelsesdato skal ligge forud for modtagelsesdato</t>
  </si>
  <si>
    <t>Periode start og periode slut er indeholdt i samme {0}</t>
  </si>
  <si>
    <t>Domsdato og forligsdato må ikke være udfyldt samtidigt</t>
  </si>
  <si>
    <t>Enten domsdato eller forligsdato skal være udfyldt</t>
  </si>
  <si>
    <t>Domsdato skal være udfyldt</t>
  </si>
  <si>
    <t>Forligsdato skal være udfyldt</t>
  </si>
  <si>
    <t>Domsdato må ikke være udfyldt</t>
  </si>
  <si>
    <t>Forligsdato må ikke være udfyldt</t>
  </si>
  <si>
    <t>Stiftelsesdato skal være udfyldt</t>
  </si>
  <si>
    <t>Forfaldsdato skal være udfyldt</t>
  </si>
  <si>
    <t>Sidste rettidige betalingsdato skal være udfyldt</t>
  </si>
  <si>
    <t>Periode start skal være udfyldt</t>
  </si>
  <si>
    <t>Periode slut skal være udfyldt</t>
  </si>
  <si>
    <t>Stiftelsesdato må ikke være udfyldt</t>
  </si>
  <si>
    <t>Forfaldsdato må ikke være udfyldt</t>
  </si>
  <si>
    <t>Sidste rettidige betalingsdato må ikke være udfyldt</t>
  </si>
  <si>
    <t>Periode start må ikke være udfyldt</t>
  </si>
  <si>
    <t>Periode slut må ikke være udfyldt</t>
  </si>
  <si>
    <t>Beskrivelsesfelt skal være udfyldt</t>
  </si>
  <si>
    <t>Periode start</t>
  </si>
  <si>
    <t>Relateredes Periode start</t>
  </si>
  <si>
    <t>hovedfordrings Periode start</t>
  </si>
  <si>
    <t>Periode slut</t>
  </si>
  <si>
    <t>Sidste rettidige betalingsdato</t>
  </si>
  <si>
    <t>hovedfordrings Sidste rettidige betalingsdato</t>
  </si>
  <si>
    <t>Snippets</t>
  </si>
  <si>
    <t>Der må højst være {0} relateret fordring{1} af typen opkrævningsgebyr ('OG')</t>
  </si>
  <si>
    <t>FORDRNG</t>
  </si>
  <si>
    <t>Fordringen afvises*</t>
  </si>
  <si>
    <t>Hvis domsdato eller forligsdato er udfyldt, skal forældelsesdato ligge senest {0} domsdato eller forligsdato</t>
  </si>
  <si>
    <t>Hvis domsdato eller forligsdato er udfyldt, skal forældelsesdato ligge senest 10 år efter domsdato eller forligsdato</t>
  </si>
  <si>
    <t>Version</t>
  </si>
  <si>
    <t>Dato</t>
  </si>
  <si>
    <t>Name</t>
  </si>
  <si>
    <t>Changes</t>
  </si>
  <si>
    <t>Thomas Petersen</t>
  </si>
  <si>
    <t>1.1</t>
  </si>
  <si>
    <t>Første versionerede Filteropsætter - bygger på PROTO v1.1</t>
  </si>
  <si>
    <t>1.2</t>
  </si>
  <si>
    <t>Fulde navn/beskrivelse</t>
  </si>
  <si>
    <t>ON</t>
  </si>
  <si>
    <t>Filterregler for FORDRNG (Fulde navn/beskrivelse)</t>
  </si>
  <si>
    <t>Konsekvensknapper</t>
  </si>
  <si>
    <t>Domsdato: [Quantity] xor Forligsdato: [Amount]; FOKO senest: 10 år + [Duration] + hensyn til FOKO-lukkedage ({Må IKKE:-1, KAN:0, SKAL:1}; default = 0)</t>
  </si>
  <si>
    <r>
      <rPr>
        <b/>
        <sz val="11"/>
        <color theme="1"/>
        <rFont val="Calibri"/>
        <family val="2"/>
        <scheme val="minor"/>
      </rPr>
      <t>UF FordringensModtagelseDato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</si>
  <si>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FordringensModtagelseDato</t>
    </r>
  </si>
  <si>
    <r>
      <rPr>
        <b/>
        <sz val="11"/>
        <color theme="1"/>
        <rFont val="Calibri"/>
        <family val="2"/>
        <scheme val="minor"/>
      </rPr>
      <t xml:space="preserve">    UF FordringensModtagelseDato</t>
    </r>
    <r>
      <rPr>
        <sz val="11"/>
        <color theme="1"/>
        <rFont val="Calibri"/>
        <family val="2"/>
        <scheme val="minor"/>
      </rPr>
      <t xml:space="preserve"> &lt;= HF ForfaldDato + [Duration]</t>
    </r>
  </si>
  <si>
    <r>
      <rPr>
        <b/>
        <sz val="11"/>
        <color theme="1"/>
        <rFont val="Calibri"/>
        <family val="2"/>
        <scheme val="minor"/>
      </rPr>
      <t>UF StiftelseDato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</si>
  <si>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ForfaldDato</t>
    </r>
    <r>
      <rPr>
        <sz val="11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</si>
  <si>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</si>
  <si>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</si>
  <si>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SRBDato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</si>
  <si>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StiftelseDato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</si>
  <si>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FordringsStartDato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</si>
  <si>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t>1.3</t>
  </si>
  <si>
    <t>Regler: Vendt beskrivelse af 10'er regler [IS-61746]; Tilføjet mulighed for at sætte max i 10.5 til 10.10 [IS-65128]; Ændret 'banklukkedage' til 'FOKO-lukkedage' i 2'er-regler</t>
  </si>
  <si>
    <t>1.4</t>
  </si>
  <si>
    <t>IF SendFoko AND Doms-/Forligsdato IS NOT NULL THEN FordringshaverForældelsesdato &lt;= max(Doms-/Forligsdato) + 10 år +  evt. R_7_12.duration + hensyn til FOKO-lukkedage</t>
  </si>
  <si>
    <t>Kommentarfelter; Ret 'bank' til 'FOKO-' i 2.1b; ret gl kommentar i inputbox</t>
  </si>
  <si>
    <t>Oprindelig hovedstol skal være præcis {0} kr.</t>
  </si>
  <si>
    <t xml:space="preserve">    FordringshaverForældelsesdato &lt;= Fordringens modtagelsesdato + [Duration] + hensyn til FOKO-lukkedage (Quantity != 0)</t>
  </si>
  <si>
    <t xml:space="preserve">    FordringshaverForældelsesdato &lt;= Forfaldsdato + [Duration] + hensyn til FOKO-lukkedage (Quantity != 0)</t>
  </si>
  <si>
    <t xml:space="preserve">    FordringshaverForældelsesdato &lt;= SRBdato + [Duration] + hensyn til FOKO-lukkedage (Quantity != 0)</t>
  </si>
  <si>
    <t xml:space="preserve">    FordringshaverForældelsesdato &lt;= FordringsStartDato + [Duration] + hensyn til FOKO-lukkedage (Quantity != 0)</t>
  </si>
  <si>
    <t xml:space="preserve">    FordringshaverForældelsesdato &lt;= StiftelsesDato + [Duration] + hensyn til FOKO-lukkedage (Quantity != 0)</t>
  </si>
  <si>
    <r>
      <t xml:space="preserve">    FordringshaverForældelsesdato &lt;= 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</si>
  <si>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</si>
  <si>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</si>
  <si>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</si>
  <si>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</si>
  <si>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t>Fordringens modtagelsesdato &lt;= StiftelsesDato + [Duration] - (kan betinges af at FOKO er blank ved Quantity = 1)</t>
  </si>
  <si>
    <t>Fordringens modtagelsesdato &lt;= ForfaldDato + [Duration] - (kan betinges af at FOKO er blank ved Quantity = 1)</t>
  </si>
  <si>
    <t>SRBDato + [Duration] &lt;= Fordringens modtagelsesdato - (kan betinges af at FOKO er blank ved Quantity = 1)</t>
  </si>
  <si>
    <t>Fordringens modtagelsesdato &lt;= SRBDato + [Duration] - (kan betinges af at FOKO er blank ved Quantity = 1)</t>
  </si>
  <si>
    <t>Fordringens modtagelsesdato &lt;= FordringsStartDato + [Duration] - (kan betinges af at FOKO er blank ved Quantity = 1)</t>
  </si>
  <si>
    <t>Fordringens modtagelsesdato &lt;= FordringsSlutDato + [Duration] - (kan betinges af at FOKO er blank ved Quantity = 1)</t>
  </si>
  <si>
    <t>[Quantity := 0] &lt;= Hovedstol &lt;= [Amount]</t>
  </si>
  <si>
    <t>Hovedstol &lt;= PeriodDays * [Amount]</t>
  </si>
  <si>
    <t>[Quantity := 0] &lt;= Fordringsbeløb &lt;= [Amount]</t>
  </si>
  <si>
    <t>Fordringsbeløb &lt;= PeriodDays * [Amount]</t>
  </si>
  <si>
    <t>FordringsStartDato &lt; Fordringens modtagelsesdato + [Duration]</t>
  </si>
  <si>
    <t>FordringsSlutDato &lt; Fordringens modtagelsesdato + [Duration]</t>
  </si>
  <si>
    <t>ForfaldDato + [Duration] &lt;= SRBDato</t>
  </si>
  <si>
    <t xml:space="preserve">    SRBDato &lt;= ForfaldDato + [Duration]</t>
  </si>
  <si>
    <t>StiftelsesDato + [Duration] &lt;= ForfaldDato</t>
  </si>
  <si>
    <t xml:space="preserve">    ForfaldDato &lt;= StiftelsesDato + [Duration]</t>
  </si>
  <si>
    <t>FordringsStartDato + [Duration] &lt;= ForfaldDato</t>
  </si>
  <si>
    <t xml:space="preserve">    ForfaldDato &lt;= FordringsStartDato + [Duration]</t>
  </si>
  <si>
    <t>FordringsSlutDato + [Duration] &lt;= ForfaldDato</t>
  </si>
  <si>
    <t xml:space="preserve">    ForfaldDato &lt;= FordringsSlutDato + [Duration]</t>
  </si>
  <si>
    <t>StiftelsesDato + [Duration] &lt;= SRBDato</t>
  </si>
  <si>
    <t xml:space="preserve">    SRBDato &lt;= StiftelsesDato + [Duration]</t>
  </si>
  <si>
    <t>FordringsStartDato + [Duration] &lt;= SRBDato</t>
  </si>
  <si>
    <t xml:space="preserve">    SRBDato &lt;= FordringsStartDato + [Duration]</t>
  </si>
  <si>
    <t xml:space="preserve">FordringsSlutDato + [Duration] &lt;= SRBDato </t>
  </si>
  <si>
    <t xml:space="preserve">    SRBDato &lt;= FordringsSlutDato + [Duration]</t>
  </si>
  <si>
    <t>FordringsStartDato + [Duration] &lt;= StiftelsesDato</t>
  </si>
  <si>
    <t xml:space="preserve">     StiftelsesDato &lt;= FordringsStartDato + [Duration]</t>
  </si>
  <si>
    <t xml:space="preserve">FordringsSlutDato + [Duration] &lt;= StiftelsesDato </t>
  </si>
  <si>
    <t xml:space="preserve">    StiftelsesDato &lt;= FordringsSlutDato + [Duration]</t>
  </si>
  <si>
    <t>FordringsStartDato + [Duration] &lt;= FordringsSlutDato</t>
  </si>
  <si>
    <t xml:space="preserve">    FordringsSlutDato &lt;= FordringsStartDato + [Duration]</t>
  </si>
  <si>
    <t>Start- og Slutdato er i samme [Quantity] {sum af 1: måned; 10: kvartal; 100: halvår; 1000: år; hvis 0: år}</t>
  </si>
  <si>
    <r>
      <t>Domsdato:</t>
    </r>
    <r>
      <rPr>
        <b/>
        <sz val="11"/>
        <rFont val="Calibri"/>
        <family val="2"/>
        <scheme val="minor"/>
      </rPr>
      <t xml:space="preserve"> [Quantity] </t>
    </r>
    <r>
      <rPr>
        <sz val="11"/>
        <rFont val="Calibri"/>
        <family val="2"/>
        <scheme val="minor"/>
      </rPr>
      <t xml:space="preserve">xor Forligsdato: </t>
    </r>
    <r>
      <rPr>
        <b/>
        <sz val="11"/>
        <rFont val="Calibri"/>
        <family val="2"/>
        <scheme val="minor"/>
      </rPr>
      <t>[Amount]</t>
    </r>
    <r>
      <rPr>
        <sz val="11"/>
        <rFont val="Calibri"/>
        <family val="2"/>
        <scheme val="minor"/>
      </rPr>
      <t xml:space="preserve">; FOKO senest: 10 år + </t>
    </r>
    <r>
      <rPr>
        <b/>
        <sz val="11"/>
        <rFont val="Calibri"/>
        <family val="2"/>
        <scheme val="minor"/>
      </rPr>
      <t>[Duration]</t>
    </r>
    <r>
      <rPr>
        <sz val="11"/>
        <rFont val="Calibri"/>
        <family val="2"/>
        <scheme val="minor"/>
      </rPr>
      <t xml:space="preserve"> + hensyn til FOKO-lukkedage ({Må IKKE:-1, KAN:0, SKAL:1}; default = 0)</t>
    </r>
  </si>
  <si>
    <t>count(Claims WHERE MainClaimID is Identical and FordringsTypeKategori = "OG") &lt;= [Quantity]</t>
  </si>
  <si>
    <t>1.5</t>
  </si>
  <si>
    <t>1.6</t>
  </si>
  <si>
    <t>Fordringsartkoden skal være "INDR"</t>
  </si>
  <si>
    <t>Indlæs opsætning fra fil; Talformatering af Configuration; Fjern '-' i tekst til R1.1</t>
  </si>
  <si>
    <t>Tilføj snippet for præcist beløb i R_4_2; Kommentarfelter ny højde 20 px; Udvid beskrivelsesfelt; Nyeste regelformuleringer v3.0.9 (FOKO-lukkedag, omvendte 10'er m fed...)</t>
  </si>
  <si>
    <t>Fordringen skal altid være en hovedfordring</t>
  </si>
  <si>
    <t>1.7</t>
  </si>
  <si>
    <t>Validering af indlæsning; Fix så gl=ny-fil vises i GUI; Beskrivelse på Specification ved reset; Fix så tal fanges i val af FT-id; Advar om udfyldte RF-regler ved skift til HF; Advar om udfyldte perioderegler ved Ingen periode; Reset Formulering ved 'Reset'</t>
  </si>
  <si>
    <t>1.8</t>
  </si>
  <si>
    <t>Fletning af config-filer til hovedfil</t>
  </si>
  <si>
    <t>1.9</t>
  </si>
  <si>
    <t>Kopiering til SharePoint med check in; fix af filtreringsfejl i merge</t>
  </si>
  <si>
    <t>Hverken domsdato eller forligsdato må være udfyldt</t>
  </si>
  <si>
    <t>1.10</t>
  </si>
  <si>
    <t>Rettet 'og' til 'eller' i Snippets:E4</t>
  </si>
  <si>
    <t>1.11</t>
  </si>
  <si>
    <t>Kommentar bevares selvom regel er slukket; Cancel og Enable på 'Indlæs fra fil' og 'Hent' bevirker 'Start'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</si>
</sst>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rgb="FFFFFFFF"/>
      <name val="Arial"/>
      <family val="2"/>
    </font>
    <font>
      <sz val="9"/>
      <color rgb="FFFFFFFF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b/>
      <sz val="11"/>
      <color rgb="FFFA7D00"/>
      <name val="Calibri"/>
      <family val="2"/>
    </font>
    <font>
      <sz val="8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DAD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4143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FD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0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E2BBB2"/>
        <bgColor rgb="FF000000"/>
      </patternFill>
    </fill>
    <fill>
      <patternFill patternType="solid">
        <fgColor rgb="FFFFE699"/>
        <bgColor rgb="FFFFFFFF"/>
      </patternFill>
    </fill>
    <fill>
      <patternFill patternType="solid">
        <fgColor rgb="FFC6E0B4"/>
        <bgColor rgb="FF000000"/>
      </patternFill>
    </fill>
    <fill>
      <patternFill patternType="solid">
        <fgColor rgb="FFB4C6E7"/>
        <bgColor rgb="FFFFFFFF"/>
      </patternFill>
    </fill>
    <fill>
      <patternFill patternType="solid">
        <fgColor rgb="FFE1B4E8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F2F2F2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FFFFFF"/>
      </patternFill>
    </fill>
    <fill>
      <patternFill patternType="solid">
        <fgColor rgb="FFFCE4D6"/>
        <bgColor rgb="FF000000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3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6" fillId="35" borderId="39" applyNumberFormat="0" applyAlignment="0" applyProtection="0"/>
  </cellStyleXfs>
  <cellXfs count="171">
    <xf numFmtId="0" fontId="0" fillId="0" borderId="0" xfId="0"/>
    <xf numFmtId="49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textRotation="31"/>
    </xf>
    <xf numFmtId="0" fontId="1" fillId="2" borderId="2" xfId="0" applyFont="1" applyFill="1" applyBorder="1" applyAlignment="1">
      <alignment horizontal="center" vertical="center" textRotation="31"/>
    </xf>
    <xf numFmtId="49" fontId="0" fillId="0" borderId="3" xfId="0" applyNumberFormat="1" applyFill="1" applyBorder="1" applyAlignment="1">
      <alignment vertical="top"/>
    </xf>
    <xf numFmtId="0" fontId="2" fillId="0" borderId="3" xfId="0" applyFont="1" applyFill="1" applyBorder="1" applyAlignment="1">
      <alignment vertical="top"/>
    </xf>
    <xf numFmtId="0" fontId="2" fillId="0" borderId="4" xfId="0" applyFont="1" applyFill="1" applyBorder="1" applyAlignment="1">
      <alignment vertical="top"/>
    </xf>
    <xf numFmtId="49" fontId="0" fillId="0" borderId="6" xfId="0" applyNumberFormat="1" applyFill="1" applyBorder="1" applyAlignment="1">
      <alignment vertical="top"/>
    </xf>
    <xf numFmtId="0" fontId="2" fillId="0" borderId="6" xfId="0" applyFont="1" applyFill="1" applyBorder="1" applyAlignment="1">
      <alignment vertical="top"/>
    </xf>
    <xf numFmtId="0" fontId="0" fillId="0" borderId="6" xfId="0" applyFill="1" applyBorder="1" applyAlignment="1">
      <alignment vertical="top"/>
    </xf>
    <xf numFmtId="0" fontId="0" fillId="0" borderId="5" xfId="0" applyFill="1" applyBorder="1" applyAlignment="1">
      <alignment vertical="top"/>
    </xf>
    <xf numFmtId="0" fontId="0" fillId="3" borderId="6" xfId="0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4" borderId="6" xfId="0" applyFont="1" applyFill="1" applyBorder="1" applyAlignment="1">
      <alignment vertical="top"/>
    </xf>
    <xf numFmtId="0" fontId="0" fillId="5" borderId="6" xfId="0" applyFont="1" applyFill="1" applyBorder="1" applyAlignment="1">
      <alignment vertical="top"/>
    </xf>
    <xf numFmtId="0" fontId="0" fillId="6" borderId="6" xfId="0" applyFont="1" applyFill="1" applyBorder="1" applyAlignment="1">
      <alignment vertical="top" wrapText="1"/>
    </xf>
    <xf numFmtId="0" fontId="0" fillId="6" borderId="6" xfId="0" applyFill="1" applyBorder="1" applyAlignment="1">
      <alignment vertical="top"/>
    </xf>
    <xf numFmtId="0" fontId="0" fillId="5" borderId="6" xfId="0" applyFont="1" applyFill="1" applyBorder="1" applyAlignment="1">
      <alignment vertical="top" wrapText="1"/>
    </xf>
    <xf numFmtId="0" fontId="2" fillId="0" borderId="5" xfId="0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 wrapText="1"/>
    </xf>
    <xf numFmtId="0" fontId="0" fillId="0" borderId="6" xfId="0" applyFont="1" applyBorder="1" applyAlignment="1">
      <alignment vertical="top" wrapText="1"/>
    </xf>
    <xf numFmtId="0" fontId="0" fillId="5" borderId="6" xfId="0" applyFill="1" applyBorder="1" applyAlignment="1">
      <alignment vertical="top"/>
    </xf>
    <xf numFmtId="49" fontId="2" fillId="0" borderId="6" xfId="0" applyNumberFormat="1" applyFont="1" applyFill="1" applyBorder="1" applyAlignment="1">
      <alignment vertical="top"/>
    </xf>
    <xf numFmtId="0" fontId="2" fillId="6" borderId="6" xfId="0" applyFont="1" applyFill="1" applyBorder="1" applyAlignment="1">
      <alignment vertical="top"/>
    </xf>
    <xf numFmtId="0" fontId="0" fillId="0" borderId="6" xfId="0" applyBorder="1" applyAlignment="1">
      <alignment vertical="top" wrapText="1"/>
    </xf>
    <xf numFmtId="0" fontId="4" fillId="8" borderId="0" xfId="0" applyFont="1" applyFill="1" applyAlignment="1">
      <alignment horizontal="center" vertical="center" wrapText="1"/>
    </xf>
    <xf numFmtId="0" fontId="0" fillId="0" borderId="0" xfId="0" applyBorder="1"/>
    <xf numFmtId="0" fontId="1" fillId="2" borderId="8" xfId="0" applyFont="1" applyFill="1" applyBorder="1" applyAlignment="1">
      <alignment horizontal="center" textRotation="31"/>
    </xf>
    <xf numFmtId="0" fontId="1" fillId="2" borderId="9" xfId="0" applyFont="1" applyFill="1" applyBorder="1" applyAlignment="1">
      <alignment horizontal="center" textRotation="31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 textRotation="31"/>
    </xf>
    <xf numFmtId="0" fontId="1" fillId="2" borderId="12" xfId="0" applyFont="1" applyFill="1" applyBorder="1" applyAlignment="1">
      <alignment horizontal="center" textRotation="31"/>
    </xf>
    <xf numFmtId="0" fontId="1" fillId="2" borderId="13" xfId="0" applyFont="1" applyFill="1" applyBorder="1" applyAlignment="1">
      <alignment horizontal="center" textRotation="31"/>
    </xf>
    <xf numFmtId="0" fontId="1" fillId="2" borderId="14" xfId="0" applyFont="1" applyFill="1" applyBorder="1" applyAlignment="1">
      <alignment horizontal="center" textRotation="31"/>
    </xf>
    <xf numFmtId="0" fontId="1" fillId="2" borderId="15" xfId="0" applyFont="1" applyFill="1" applyBorder="1" applyAlignment="1">
      <alignment horizontal="center" textRotation="31"/>
    </xf>
    <xf numFmtId="0" fontId="0" fillId="0" borderId="0" xfId="0" applyAlignment="1">
      <alignment horizontal="right"/>
    </xf>
    <xf numFmtId="0" fontId="2" fillId="7" borderId="6" xfId="0" applyFont="1" applyFill="1" applyBorder="1" applyAlignment="1">
      <alignment vertical="top"/>
    </xf>
    <xf numFmtId="0" fontId="0" fillId="12" borderId="6" xfId="0" applyFont="1" applyFill="1" applyBorder="1" applyAlignment="1">
      <alignment vertical="top" wrapText="1"/>
    </xf>
    <xf numFmtId="0" fontId="2" fillId="12" borderId="6" xfId="0" applyFont="1" applyFill="1" applyBorder="1" applyAlignment="1">
      <alignment vertical="top"/>
    </xf>
    <xf numFmtId="0" fontId="0" fillId="11" borderId="6" xfId="0" quotePrefix="1" applyFill="1" applyBorder="1" applyAlignment="1">
      <alignment vertical="top"/>
    </xf>
    <xf numFmtId="0" fontId="0" fillId="13" borderId="6" xfId="0" applyFont="1" applyFill="1" applyBorder="1" applyAlignment="1">
      <alignment vertical="top" wrapText="1"/>
    </xf>
    <xf numFmtId="0" fontId="0" fillId="16" borderId="6" xfId="0" quotePrefix="1" applyFill="1" applyBorder="1" applyAlignment="1">
      <alignment vertical="top"/>
    </xf>
    <xf numFmtId="0" fontId="2" fillId="17" borderId="6" xfId="0" applyFont="1" applyFill="1" applyBorder="1" applyAlignment="1">
      <alignment vertical="top"/>
    </xf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6" fillId="9" borderId="3" xfId="0" applyFont="1" applyFill="1" applyBorder="1" applyAlignment="1">
      <alignment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0" borderId="6" xfId="0" applyFont="1" applyBorder="1" applyAlignment="1">
      <alignment horizontal="center" vertical="center" wrapText="1"/>
    </xf>
    <xf numFmtId="0" fontId="0" fillId="0" borderId="16" xfId="0" applyBorder="1" applyAlignment="1">
      <alignment vertical="center" wrapText="1"/>
    </xf>
    <xf numFmtId="0" fontId="6" fillId="9" borderId="6" xfId="0" applyFont="1" applyFill="1" applyBorder="1" applyAlignment="1">
      <alignment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6" fillId="13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49" fontId="0" fillId="0" borderId="20" xfId="0" applyNumberFormat="1" applyFill="1" applyBorder="1" applyAlignment="1">
      <alignment vertical="top"/>
    </xf>
    <xf numFmtId="0" fontId="2" fillId="0" borderId="20" xfId="0" applyFont="1" applyFill="1" applyBorder="1" applyAlignment="1">
      <alignment vertical="top"/>
    </xf>
    <xf numFmtId="0" fontId="2" fillId="0" borderId="22" xfId="0" applyFont="1" applyFill="1" applyBorder="1" applyAlignment="1">
      <alignment vertical="top"/>
    </xf>
    <xf numFmtId="0" fontId="2" fillId="12" borderId="20" xfId="0" applyFont="1" applyFill="1" applyBorder="1" applyAlignment="1">
      <alignment vertical="top"/>
    </xf>
    <xf numFmtId="0" fontId="11" fillId="10" borderId="23" xfId="0" applyFont="1" applyFill="1" applyBorder="1" applyAlignment="1">
      <alignment vertical="top" wrapText="1"/>
    </xf>
    <xf numFmtId="0" fontId="11" fillId="10" borderId="24" xfId="0" applyFont="1" applyFill="1" applyBorder="1" applyAlignment="1">
      <alignment vertical="top" wrapText="1"/>
    </xf>
    <xf numFmtId="0" fontId="0" fillId="0" borderId="25" xfId="0" applyBorder="1" applyAlignment="1">
      <alignment vertical="top" wrapText="1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 wrapText="1"/>
    </xf>
    <xf numFmtId="0" fontId="0" fillId="0" borderId="28" xfId="0" applyBorder="1" applyAlignment="1">
      <alignment vertical="top" wrapText="1"/>
    </xf>
    <xf numFmtId="0" fontId="14" fillId="22" borderId="0" xfId="0" applyFont="1" applyFill="1" applyBorder="1"/>
    <xf numFmtId="0" fontId="9" fillId="22" borderId="0" xfId="0" applyFont="1" applyFill="1" applyBorder="1"/>
    <xf numFmtId="0" fontId="9" fillId="0" borderId="0" xfId="0" applyFont="1" applyFill="1" applyBorder="1"/>
    <xf numFmtId="49" fontId="14" fillId="23" borderId="11" xfId="0" applyNumberFormat="1" applyFont="1" applyFill="1" applyBorder="1"/>
    <xf numFmtId="0" fontId="9" fillId="23" borderId="10" xfId="0" applyFont="1" applyFill="1" applyBorder="1"/>
    <xf numFmtId="0" fontId="9" fillId="23" borderId="10" xfId="0" applyNumberFormat="1" applyFont="1" applyFill="1" applyBorder="1"/>
    <xf numFmtId="0" fontId="9" fillId="23" borderId="9" xfId="0" applyNumberFormat="1" applyFont="1" applyFill="1" applyBorder="1"/>
    <xf numFmtId="0" fontId="9" fillId="0" borderId="0" xfId="0" applyNumberFormat="1" applyFont="1" applyFill="1" applyBorder="1"/>
    <xf numFmtId="0" fontId="14" fillId="24" borderId="11" xfId="0" applyNumberFormat="1" applyFont="1" applyFill="1" applyBorder="1"/>
    <xf numFmtId="0" fontId="14" fillId="24" borderId="10" xfId="0" applyFont="1" applyFill="1" applyBorder="1"/>
    <xf numFmtId="0" fontId="14" fillId="24" borderId="9" xfId="0" applyFont="1" applyFill="1" applyBorder="1"/>
    <xf numFmtId="0" fontId="9" fillId="24" borderId="10" xfId="0" applyFont="1" applyFill="1" applyBorder="1"/>
    <xf numFmtId="0" fontId="9" fillId="25" borderId="29" xfId="0" applyFont="1" applyFill="1" applyBorder="1" applyAlignment="1">
      <alignment horizontal="left" vertical="center"/>
    </xf>
    <xf numFmtId="0" fontId="9" fillId="25" borderId="0" xfId="0" applyFont="1" applyFill="1" applyBorder="1" applyAlignment="1">
      <alignment horizontal="left" vertical="center"/>
    </xf>
    <xf numFmtId="0" fontId="15" fillId="26" borderId="30" xfId="0" applyFont="1" applyFill="1" applyBorder="1"/>
    <xf numFmtId="0" fontId="15" fillId="26" borderId="31" xfId="0" applyFont="1" applyFill="1" applyBorder="1"/>
    <xf numFmtId="49" fontId="15" fillId="27" borderId="30" xfId="0" applyNumberFormat="1" applyFont="1" applyFill="1" applyBorder="1"/>
    <xf numFmtId="0" fontId="15" fillId="27" borderId="32" xfId="0" applyFont="1" applyFill="1" applyBorder="1"/>
    <xf numFmtId="0" fontId="15" fillId="27" borderId="32" xfId="0" applyNumberFormat="1" applyFont="1" applyFill="1" applyBorder="1"/>
    <xf numFmtId="14" fontId="9" fillId="28" borderId="33" xfId="4" applyNumberFormat="1" applyFont="1" applyFill="1" applyBorder="1"/>
    <xf numFmtId="14" fontId="9" fillId="29" borderId="33" xfId="2" applyNumberFormat="1" applyFont="1" applyFill="1" applyBorder="1"/>
    <xf numFmtId="14" fontId="8" fillId="30" borderId="33" xfId="1" applyNumberFormat="1" applyFont="1" applyFill="1" applyBorder="1"/>
    <xf numFmtId="14" fontId="9" fillId="31" borderId="33" xfId="3" applyNumberFormat="1" applyFont="1" applyFill="1" applyBorder="1"/>
    <xf numFmtId="14" fontId="9" fillId="32" borderId="33" xfId="3" applyNumberFormat="1" applyFont="1" applyFill="1" applyBorder="1"/>
    <xf numFmtId="0" fontId="15" fillId="27" borderId="34" xfId="0" applyNumberFormat="1" applyFont="1" applyFill="1" applyBorder="1"/>
    <xf numFmtId="0" fontId="15" fillId="33" borderId="35" xfId="0" applyNumberFormat="1" applyFont="1" applyFill="1" applyBorder="1"/>
    <xf numFmtId="0" fontId="15" fillId="33" borderId="36" xfId="0" applyFont="1" applyFill="1" applyBorder="1"/>
    <xf numFmtId="0" fontId="15" fillId="33" borderId="37" xfId="0" applyFont="1" applyFill="1" applyBorder="1"/>
    <xf numFmtId="0" fontId="15" fillId="33" borderId="38" xfId="0" applyFont="1" applyFill="1" applyBorder="1"/>
    <xf numFmtId="0" fontId="15" fillId="27" borderId="38" xfId="0" applyFont="1" applyFill="1" applyBorder="1"/>
    <xf numFmtId="0" fontId="15" fillId="34" borderId="18" xfId="0" applyFont="1" applyFill="1" applyBorder="1" applyAlignment="1">
      <alignment vertical="center"/>
    </xf>
    <xf numFmtId="0" fontId="7" fillId="0" borderId="18" xfId="0" applyFont="1" applyFill="1" applyBorder="1"/>
    <xf numFmtId="0" fontId="7" fillId="0" borderId="0" xfId="0" applyFont="1" applyFill="1" applyBorder="1"/>
    <xf numFmtId="0" fontId="7" fillId="0" borderId="33" xfId="0" applyFont="1" applyFill="1" applyBorder="1"/>
    <xf numFmtId="0" fontId="7" fillId="36" borderId="6" xfId="0" applyFont="1" applyFill="1" applyBorder="1"/>
    <xf numFmtId="14" fontId="8" fillId="0" borderId="33" xfId="1" applyNumberFormat="1" applyFont="1" applyFill="1" applyBorder="1"/>
    <xf numFmtId="14" fontId="8" fillId="0" borderId="33" xfId="0" applyNumberFormat="1" applyFont="1" applyFill="1" applyBorder="1"/>
    <xf numFmtId="0" fontId="17" fillId="37" borderId="39" xfId="5" applyNumberFormat="1" applyFont="1" applyFill="1" applyBorder="1"/>
    <xf numFmtId="0" fontId="7" fillId="0" borderId="0" xfId="0" applyNumberFormat="1" applyFont="1" applyFill="1" applyBorder="1"/>
    <xf numFmtId="0" fontId="17" fillId="37" borderId="18" xfId="5" applyNumberFormat="1" applyFont="1" applyFill="1" applyBorder="1"/>
    <xf numFmtId="1" fontId="7" fillId="0" borderId="18" xfId="0" applyNumberFormat="1" applyFont="1" applyFill="1" applyBorder="1"/>
    <xf numFmtId="14" fontId="17" fillId="37" borderId="18" xfId="5" applyNumberFormat="1" applyFont="1" applyFill="1" applyBorder="1"/>
    <xf numFmtId="0" fontId="7" fillId="38" borderId="18" xfId="0" applyFont="1" applyFill="1" applyBorder="1" applyAlignment="1">
      <alignment vertical="center"/>
    </xf>
    <xf numFmtId="0" fontId="7" fillId="38" borderId="18" xfId="0" applyFont="1" applyFill="1" applyBorder="1" applyAlignment="1">
      <alignment vertical="center" wrapText="1"/>
    </xf>
    <xf numFmtId="14" fontId="7" fillId="0" borderId="0" xfId="0" applyNumberFormat="1" applyFont="1" applyFill="1" applyBorder="1"/>
    <xf numFmtId="0" fontId="10" fillId="13" borderId="0" xfId="0" applyFont="1" applyFill="1" applyAlignment="1">
      <alignment vertical="center" wrapText="1"/>
    </xf>
    <xf numFmtId="0" fontId="0" fillId="13" borderId="0" xfId="0" applyFill="1"/>
    <xf numFmtId="0" fontId="6" fillId="12" borderId="0" xfId="0" applyFont="1" applyFill="1" applyAlignment="1">
      <alignment vertical="center" wrapText="1"/>
    </xf>
    <xf numFmtId="0" fontId="6" fillId="12" borderId="6" xfId="0" applyFont="1" applyFill="1" applyBorder="1" applyAlignment="1">
      <alignment horizontal="center" vertical="center" wrapText="1"/>
    </xf>
    <xf numFmtId="0" fontId="6" fillId="15" borderId="6" xfId="0" applyFont="1" applyFill="1" applyBorder="1" applyAlignment="1">
      <alignment vertical="center" wrapText="1"/>
    </xf>
    <xf numFmtId="0" fontId="6" fillId="39" borderId="0" xfId="0" applyFont="1" applyFill="1" applyAlignment="1">
      <alignment vertical="center" wrapText="1"/>
    </xf>
    <xf numFmtId="0" fontId="6" fillId="39" borderId="6" xfId="0" applyFont="1" applyFill="1" applyBorder="1" applyAlignment="1">
      <alignment horizontal="center" vertical="center" wrapText="1"/>
    </xf>
    <xf numFmtId="49" fontId="0" fillId="14" borderId="6" xfId="0" applyNumberFormat="1" applyFill="1" applyBorder="1" applyAlignment="1">
      <alignment horizontal="left"/>
    </xf>
    <xf numFmtId="0" fontId="0" fillId="0" borderId="6" xfId="0" applyFill="1" applyBorder="1"/>
    <xf numFmtId="0" fontId="0" fillId="0" borderId="7" xfId="0" applyFill="1" applyBorder="1"/>
    <xf numFmtId="0" fontId="0" fillId="5" borderId="6" xfId="0" applyFont="1" applyFill="1" applyBorder="1" applyAlignment="1"/>
    <xf numFmtId="0" fontId="0" fillId="9" borderId="7" xfId="0" applyFill="1" applyBorder="1"/>
    <xf numFmtId="0" fontId="0" fillId="3" borderId="6" xfId="0" applyFont="1" applyFill="1" applyBorder="1" applyAlignment="1"/>
    <xf numFmtId="0" fontId="2" fillId="0" borderId="6" xfId="0" quotePrefix="1" applyFont="1" applyFill="1" applyBorder="1" applyAlignment="1">
      <alignment vertical="top"/>
    </xf>
    <xf numFmtId="0" fontId="2" fillId="0" borderId="16" xfId="0" quotePrefix="1" applyFont="1" applyFill="1" applyBorder="1" applyAlignment="1">
      <alignment vertical="top"/>
    </xf>
    <xf numFmtId="0" fontId="0" fillId="0" borderId="6" xfId="0" quotePrefix="1" applyFill="1" applyBorder="1" applyAlignment="1">
      <alignment vertical="top"/>
    </xf>
    <xf numFmtId="0" fontId="0" fillId="0" borderId="16" xfId="0" applyFont="1" applyFill="1" applyBorder="1" applyAlignment="1">
      <alignment vertical="top"/>
    </xf>
    <xf numFmtId="0" fontId="0" fillId="0" borderId="16" xfId="0" applyFont="1" applyBorder="1" applyAlignment="1"/>
    <xf numFmtId="0" fontId="0" fillId="0" borderId="16" xfId="0" applyFont="1" applyFill="1" applyBorder="1" applyAlignment="1"/>
    <xf numFmtId="0" fontId="0" fillId="6" borderId="17" xfId="0" applyFill="1" applyBorder="1" applyAlignment="1"/>
    <xf numFmtId="0" fontId="0" fillId="6" borderId="16" xfId="0" applyFill="1" applyBorder="1" applyAlignment="1"/>
    <xf numFmtId="0" fontId="0" fillId="5" borderId="16" xfId="0" applyFill="1" applyBorder="1" applyAlignment="1"/>
    <xf numFmtId="0" fontId="2" fillId="3" borderId="6" xfId="0" applyFont="1" applyFill="1" applyBorder="1" applyAlignment="1">
      <alignment vertical="top"/>
    </xf>
    <xf numFmtId="0" fontId="2" fillId="6" borderId="17" xfId="0" applyFont="1" applyFill="1" applyBorder="1" applyAlignment="1"/>
    <xf numFmtId="0" fontId="2" fillId="6" borderId="16" xfId="0" applyFont="1" applyFill="1" applyBorder="1" applyAlignment="1"/>
    <xf numFmtId="49" fontId="2" fillId="14" borderId="7" xfId="0" applyNumberFormat="1" applyFont="1" applyFill="1" applyBorder="1" applyAlignment="1">
      <alignment horizontal="left"/>
    </xf>
    <xf numFmtId="49" fontId="2" fillId="14" borderId="6" xfId="0" applyNumberFormat="1" applyFont="1" applyFill="1" applyBorder="1" applyAlignment="1">
      <alignment horizontal="left"/>
    </xf>
    <xf numFmtId="0" fontId="2" fillId="6" borderId="6" xfId="0" applyFont="1" applyFill="1" applyBorder="1" applyAlignment="1"/>
    <xf numFmtId="0" fontId="0" fillId="0" borderId="17" xfId="0" applyFill="1" applyBorder="1" applyAlignment="1">
      <alignment vertical="top"/>
    </xf>
    <xf numFmtId="0" fontId="0" fillId="0" borderId="16" xfId="0" applyBorder="1" applyAlignment="1">
      <alignment vertical="top"/>
    </xf>
    <xf numFmtId="0" fontId="0" fillId="6" borderId="6" xfId="0" applyFill="1" applyBorder="1"/>
    <xf numFmtId="0" fontId="11" fillId="10" borderId="40" xfId="0" applyFont="1" applyFill="1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41" xfId="0" applyBorder="1" applyAlignment="1">
      <alignment vertical="top" wrapText="1"/>
    </xf>
    <xf numFmtId="0" fontId="0" fillId="7" borderId="7" xfId="0" applyFill="1" applyBorder="1"/>
    <xf numFmtId="0" fontId="1" fillId="2" borderId="30" xfId="0" applyFont="1" applyFill="1" applyBorder="1" applyAlignment="1">
      <alignment horizontal="center"/>
    </xf>
    <xf numFmtId="0" fontId="1" fillId="2" borderId="32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 wrapText="1"/>
    </xf>
    <xf numFmtId="49" fontId="0" fillId="0" borderId="0" xfId="0" applyNumberFormat="1" applyAlignment="1">
      <alignment vertical="center"/>
    </xf>
    <xf numFmtId="0" fontId="0" fillId="0" borderId="6" xfId="0" applyFont="1" applyBorder="1" applyAlignment="1">
      <alignment vertical="top"/>
    </xf>
    <xf numFmtId="0" fontId="0" fillId="0" borderId="42" xfId="0" applyBorder="1" applyAlignment="1">
      <alignment vertical="top"/>
    </xf>
    <xf numFmtId="14" fontId="0" fillId="0" borderId="33" xfId="0" applyNumberFormat="1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43" xfId="0" applyBorder="1" applyAlignment="1">
      <alignment vertical="top" wrapText="1"/>
    </xf>
    <xf numFmtId="0" fontId="0" fillId="0" borderId="0" xfId="0" applyFill="1"/>
    <xf numFmtId="0" fontId="0" fillId="0" borderId="0" xfId="0" applyFill="1" applyAlignment="1">
      <alignment wrapText="1"/>
    </xf>
    <xf numFmtId="0" fontId="0" fillId="6" borderId="6" xfId="0" applyFont="1" applyFill="1" applyBorder="1" applyAlignment="1">
      <alignment vertical="top"/>
    </xf>
    <xf numFmtId="0" fontId="0" fillId="6" borderId="7" xfId="0" applyFill="1" applyBorder="1" applyAlignment="1">
      <alignment vertical="top"/>
    </xf>
    <xf numFmtId="0" fontId="0" fillId="6" borderId="7" xfId="0" applyFont="1" applyFill="1" applyBorder="1" applyAlignment="1">
      <alignment vertical="top" wrapText="1"/>
    </xf>
    <xf numFmtId="0" fontId="0" fillId="0" borderId="7" xfId="0" applyFont="1" applyBorder="1" applyAlignment="1">
      <alignment vertical="top" wrapText="1"/>
    </xf>
    <xf numFmtId="0" fontId="2" fillId="6" borderId="7" xfId="0" applyFont="1" applyFill="1" applyBorder="1" applyAlignment="1">
      <alignment vertical="top"/>
    </xf>
    <xf numFmtId="0" fontId="0" fillId="0" borderId="7" xfId="0" applyFill="1" applyBorder="1" applyAlignment="1">
      <alignment vertical="top" wrapText="1"/>
    </xf>
    <xf numFmtId="0" fontId="0" fillId="5" borderId="6" xfId="0" applyNumberFormat="1" applyFont="1" applyFill="1" applyBorder="1" applyAlignment="1" applyProtection="1">
      <alignment vertical="top"/>
    </xf>
    <xf numFmtId="0" fontId="2" fillId="0" borderId="6" xfId="0" quotePrefix="1" applyFont="1" applyFill="1" applyBorder="1" applyAlignment="1"/>
    <xf numFmtId="0" fontId="0" fillId="0" borderId="6" xfId="0" quotePrefix="1" applyFill="1" applyBorder="1" applyAlignment="1"/>
    <xf numFmtId="0" fontId="0" fillId="0" borderId="6" xfId="0" applyBorder="1" applyAlignment="1">
      <alignment vertical="top"/>
    </xf>
    <xf numFmtId="0" fontId="0" fillId="0" borderId="7" xfId="0" applyNumberFormat="1" applyFill="1" applyBorder="1"/>
  </cellXfs>
  <cellStyles count="6">
    <cellStyle name="40 % - Farve4" xfId="2" builtinId="43"/>
    <cellStyle name="40 % - Farve5" xfId="3" builtinId="47"/>
    <cellStyle name="40 % - Farve6" xfId="4" builtinId="51"/>
    <cellStyle name="Beregning" xfId="5" builtinId="22"/>
    <cellStyle name="God" xfId="1" builtinId="26"/>
    <cellStyle name="Normal" xfId="0" builtinId="0"/>
  </cellStyles>
  <dxfs count="140"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CC99"/>
      <color rgb="FFF5FF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584200</xdr:colOff>
          <xdr:row>3</xdr:row>
          <xdr:rowOff>69850</xdr:rowOff>
        </xdr:from>
        <xdr:to>
          <xdr:col>2</xdr:col>
          <xdr:colOff>69850</xdr:colOff>
          <xdr:row>3</xdr:row>
          <xdr:rowOff>298450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4</xdr:row>
          <xdr:rowOff>666750</xdr:rowOff>
        </xdr:from>
        <xdr:to>
          <xdr:col>2</xdr:col>
          <xdr:colOff>69850</xdr:colOff>
          <xdr:row>4</xdr:row>
          <xdr:rowOff>933450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Indlæs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6</xdr:row>
          <xdr:rowOff>336550</xdr:rowOff>
        </xdr:from>
        <xdr:to>
          <xdr:col>2</xdr:col>
          <xdr:colOff>241300</xdr:colOff>
          <xdr:row>6</xdr:row>
          <xdr:rowOff>622300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til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6</xdr:row>
          <xdr:rowOff>742950</xdr:rowOff>
        </xdr:from>
        <xdr:to>
          <xdr:col>2</xdr:col>
          <xdr:colOff>241300</xdr:colOff>
          <xdr:row>6</xdr:row>
          <xdr:rowOff>1022350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Til SharePoint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B4:G7"/>
  <sheetViews>
    <sheetView showGridLines="0" tabSelected="1" workbookViewId="0"/>
  </sheetViews>
  <sheetFormatPr defaultRowHeight="14.5" x14ac:dyDescent="0.35"/>
  <cols>
    <col min="4" max="4" width="33.453125" customWidth="1"/>
  </cols>
  <sheetData>
    <row r="4" spans="2:7" ht="37.5" customHeight="1" x14ac:dyDescent="0.35">
      <c r="B4" s="47"/>
      <c r="D4" s="46" t="s">
        <v>200</v>
      </c>
      <c r="G4" t="s">
        <v>208</v>
      </c>
    </row>
    <row r="5" spans="2:7" ht="81.75" customHeight="1" x14ac:dyDescent="0.35">
      <c r="D5" s="46" t="s">
        <v>201</v>
      </c>
    </row>
    <row r="6" spans="2:7" ht="49.5" customHeight="1" x14ac:dyDescent="0.35">
      <c r="D6" s="46" t="s">
        <v>198</v>
      </c>
    </row>
    <row r="7" spans="2:7" ht="87" x14ac:dyDescent="0.35">
      <c r="D7" s="46" t="s">
        <v>199</v>
      </c>
    </row>
  </sheetData>
  <sheetProtection algorithmName="SHA-512" hashValue="RjUL01sKfLFXqDoVHHiuRcBntGMcM5yKMRX+ICvkKpd7L8+JXCLwu/Iw1/1rl8mjAAcLFFyNzZKVHUdpM10dRQ==" saltValue="PdGrTODmJi9zgzgPWLvwqw==" spinCount="100000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enne_projektmappe.App">
                <anchor moveWithCells="1">
                  <from>
                    <xdr:col>0</xdr:col>
                    <xdr:colOff>584200</xdr:colOff>
                    <xdr:row>3</xdr:row>
                    <xdr:rowOff>69850</xdr:rowOff>
                  </from>
                  <to>
                    <xdr:col>2</xdr:col>
                    <xdr:colOff>69850</xdr:colOff>
                    <xdr:row>3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nne_projektmappe.App_LæsFil">
                <anchor moveWithCells="1" sizeWithCells="1">
                  <from>
                    <xdr:col>0</xdr:col>
                    <xdr:colOff>584200</xdr:colOff>
                    <xdr:row>4</xdr:row>
                    <xdr:rowOff>666750</xdr:rowOff>
                  </from>
                  <to>
                    <xdr:col>2</xdr:col>
                    <xdr:colOff>69850</xdr:colOff>
                    <xdr:row>4</xdr:row>
                    <xdr:rowOff>933450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MergeFiler">
                <anchor moveWithCells="1" sizeWithCells="1">
                  <from>
                    <xdr:col>0</xdr:col>
                    <xdr:colOff>552450</xdr:colOff>
                    <xdr:row>6</xdr:row>
                    <xdr:rowOff>336550</xdr:rowOff>
                  </from>
                  <to>
                    <xdr:col>2</xdr:col>
                    <xdr:colOff>241300</xdr:colOff>
                    <xdr:row>6</xdr:row>
                    <xdr:rowOff>622300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KopierTilSharePoint">
                <anchor moveWithCells="1" sizeWithCells="1">
                  <from>
                    <xdr:col>0</xdr:col>
                    <xdr:colOff>571500</xdr:colOff>
                    <xdr:row>6</xdr:row>
                    <xdr:rowOff>742950</xdr:rowOff>
                  </from>
                  <to>
                    <xdr:col>2</xdr:col>
                    <xdr:colOff>241300</xdr:colOff>
                    <xdr:row>6</xdr:row>
                    <xdr:rowOff>1022350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J81"/>
  <sheetViews>
    <sheetView topLeftCell="A68" zoomScale="80" zoomScaleNormal="80" workbookViewId="0">
      <selection activeCell="I81" sqref="I81"/>
    </sheetView>
  </sheetViews>
  <sheetFormatPr defaultRowHeight="14.5" x14ac:dyDescent="0.35"/>
  <cols>
    <col min="1" max="1" width="8.7265625" customWidth="1"/>
    <col min="2" max="4" width="4.1796875" customWidth="1"/>
    <col min="5" max="5" width="4.453125" customWidth="1"/>
    <col min="6" max="6" width="64.453125" customWidth="1"/>
    <col min="7" max="7" width="51.26953125" customWidth="1"/>
    <col min="8" max="8" width="20.7265625" customWidth="1"/>
    <col min="9" max="10" width="16.1796875" customWidth="1"/>
  </cols>
  <sheetData>
    <row r="1" spans="1:10" ht="58" thickBot="1" x14ac:dyDescent="0.4">
      <c r="A1" s="1" t="s">
        <v>0</v>
      </c>
      <c r="B1" s="3" t="s">
        <v>1</v>
      </c>
      <c r="C1" s="3" t="s">
        <v>2</v>
      </c>
      <c r="D1" s="3" t="s">
        <v>3</v>
      </c>
      <c r="E1" s="4"/>
      <c r="F1" s="2" t="s">
        <v>4</v>
      </c>
      <c r="G1" s="27" t="s">
        <v>151</v>
      </c>
      <c r="H1" s="27" t="s">
        <v>152</v>
      </c>
      <c r="I1" t="s">
        <v>181</v>
      </c>
      <c r="J1" t="s">
        <v>180</v>
      </c>
    </row>
    <row r="2" spans="1:10" x14ac:dyDescent="0.35">
      <c r="A2" s="5" t="s">
        <v>5</v>
      </c>
      <c r="B2" s="6" t="s">
        <v>6</v>
      </c>
      <c r="C2" s="6" t="s">
        <v>7</v>
      </c>
      <c r="D2" s="7" t="s">
        <v>7</v>
      </c>
      <c r="E2" s="7">
        <v>0</v>
      </c>
      <c r="F2" s="6" t="s">
        <v>8</v>
      </c>
      <c r="G2" s="48" t="s">
        <v>366</v>
      </c>
      <c r="H2" s="49" t="s">
        <v>153</v>
      </c>
      <c r="I2" s="50" t="s">
        <v>170</v>
      </c>
      <c r="J2" s="50"/>
    </row>
    <row r="3" spans="1:10" x14ac:dyDescent="0.35">
      <c r="A3" s="8" t="s">
        <v>9</v>
      </c>
      <c r="B3" s="9" t="s">
        <v>6</v>
      </c>
      <c r="C3" s="10" t="s">
        <v>6</v>
      </c>
      <c r="D3" s="11" t="s">
        <v>7</v>
      </c>
      <c r="E3" s="20">
        <v>0</v>
      </c>
      <c r="F3" s="10" t="s">
        <v>10</v>
      </c>
      <c r="G3" s="51" t="s">
        <v>182</v>
      </c>
      <c r="H3" s="52" t="s">
        <v>153</v>
      </c>
      <c r="I3" s="53" t="s">
        <v>170</v>
      </c>
      <c r="J3" s="53"/>
    </row>
    <row r="4" spans="1:10" ht="37.5" x14ac:dyDescent="0.35">
      <c r="A4" s="8" t="s">
        <v>11</v>
      </c>
      <c r="B4" s="9" t="s">
        <v>6</v>
      </c>
      <c r="C4" s="10" t="s">
        <v>6</v>
      </c>
      <c r="D4" s="11" t="s">
        <v>7</v>
      </c>
      <c r="E4" s="20">
        <v>0</v>
      </c>
      <c r="F4" s="12" t="s">
        <v>12</v>
      </c>
      <c r="G4" s="54" t="s">
        <v>252</v>
      </c>
      <c r="H4" s="55" t="s">
        <v>153</v>
      </c>
      <c r="I4" s="53" t="s">
        <v>171</v>
      </c>
      <c r="J4" s="53"/>
    </row>
    <row r="5" spans="1:10" ht="43.5" x14ac:dyDescent="0.35">
      <c r="A5" s="8" t="s">
        <v>13</v>
      </c>
      <c r="B5" s="9" t="s">
        <v>7</v>
      </c>
      <c r="C5" s="10" t="s">
        <v>6</v>
      </c>
      <c r="D5" s="11" t="s">
        <v>7</v>
      </c>
      <c r="E5" s="20">
        <v>0</v>
      </c>
      <c r="F5" s="12" t="s">
        <v>316</v>
      </c>
      <c r="G5" s="51" t="s">
        <v>288</v>
      </c>
      <c r="H5" s="52" t="s">
        <v>154</v>
      </c>
      <c r="I5" s="53" t="s">
        <v>171</v>
      </c>
      <c r="J5" s="53"/>
    </row>
    <row r="6" spans="1:10" x14ac:dyDescent="0.35">
      <c r="A6" s="8" t="s">
        <v>14</v>
      </c>
      <c r="B6" s="9" t="s">
        <v>6</v>
      </c>
      <c r="C6" s="10" t="s">
        <v>6</v>
      </c>
      <c r="D6" s="11" t="s">
        <v>7</v>
      </c>
      <c r="E6" s="20">
        <v>0</v>
      </c>
      <c r="F6" s="13" t="s">
        <v>15</v>
      </c>
      <c r="G6" s="54" t="s">
        <v>251</v>
      </c>
      <c r="H6" s="55" t="s">
        <v>153</v>
      </c>
      <c r="I6" s="53" t="s">
        <v>171</v>
      </c>
      <c r="J6" s="53"/>
    </row>
    <row r="7" spans="1:10" ht="25" x14ac:dyDescent="0.35">
      <c r="A7" s="8" t="s">
        <v>16</v>
      </c>
      <c r="B7" s="9" t="s">
        <v>7</v>
      </c>
      <c r="C7" s="10" t="s">
        <v>7</v>
      </c>
      <c r="D7" s="11" t="s">
        <v>6</v>
      </c>
      <c r="E7" s="39">
        <v>1</v>
      </c>
      <c r="F7" s="14" t="s">
        <v>17</v>
      </c>
      <c r="G7" s="56" t="s">
        <v>284</v>
      </c>
      <c r="H7" s="56" t="s">
        <v>154</v>
      </c>
      <c r="I7" s="53" t="s">
        <v>171</v>
      </c>
      <c r="J7" s="53" t="s">
        <v>172</v>
      </c>
    </row>
    <row r="8" spans="1:10" ht="25" x14ac:dyDescent="0.35">
      <c r="A8" s="8" t="s">
        <v>18</v>
      </c>
      <c r="B8" s="9" t="s">
        <v>7</v>
      </c>
      <c r="C8" s="10" t="s">
        <v>7</v>
      </c>
      <c r="D8" s="11" t="s">
        <v>6</v>
      </c>
      <c r="E8" s="42">
        <v>101</v>
      </c>
      <c r="F8" s="15" t="s">
        <v>319</v>
      </c>
      <c r="G8" s="56" t="s">
        <v>284</v>
      </c>
      <c r="H8" s="56" t="s">
        <v>154</v>
      </c>
      <c r="I8" s="53" t="s">
        <v>171</v>
      </c>
      <c r="J8" s="53" t="s">
        <v>172</v>
      </c>
    </row>
    <row r="9" spans="1:10" ht="25" x14ac:dyDescent="0.35">
      <c r="A9" s="8" t="s">
        <v>19</v>
      </c>
      <c r="B9" s="9" t="s">
        <v>7</v>
      </c>
      <c r="C9" s="10" t="s">
        <v>7</v>
      </c>
      <c r="D9" s="11" t="s">
        <v>6</v>
      </c>
      <c r="E9" s="39">
        <v>1</v>
      </c>
      <c r="F9" s="14" t="s">
        <v>20</v>
      </c>
      <c r="G9" s="56" t="s">
        <v>284</v>
      </c>
      <c r="H9" s="56" t="s">
        <v>154</v>
      </c>
      <c r="I9" s="53" t="s">
        <v>171</v>
      </c>
      <c r="J9" s="57" t="s">
        <v>173</v>
      </c>
    </row>
    <row r="10" spans="1:10" ht="25" x14ac:dyDescent="0.35">
      <c r="A10" s="8" t="s">
        <v>21</v>
      </c>
      <c r="B10" s="9" t="s">
        <v>7</v>
      </c>
      <c r="C10" s="10" t="s">
        <v>7</v>
      </c>
      <c r="D10" s="11" t="s">
        <v>6</v>
      </c>
      <c r="E10" s="42">
        <v>101</v>
      </c>
      <c r="F10" s="15" t="s">
        <v>320</v>
      </c>
      <c r="G10" s="56" t="s">
        <v>284</v>
      </c>
      <c r="H10" s="56" t="s">
        <v>154</v>
      </c>
      <c r="I10" s="53" t="s">
        <v>171</v>
      </c>
      <c r="J10" s="57" t="s">
        <v>173</v>
      </c>
    </row>
    <row r="11" spans="1:10" ht="29" x14ac:dyDescent="0.35">
      <c r="A11" s="8" t="s">
        <v>22</v>
      </c>
      <c r="B11" s="9" t="s">
        <v>7</v>
      </c>
      <c r="C11" s="10" t="s">
        <v>7</v>
      </c>
      <c r="D11" s="11" t="s">
        <v>6</v>
      </c>
      <c r="E11" s="39">
        <v>1</v>
      </c>
      <c r="F11" s="14" t="s">
        <v>23</v>
      </c>
      <c r="G11" s="56" t="s">
        <v>284</v>
      </c>
      <c r="H11" s="56" t="s">
        <v>154</v>
      </c>
      <c r="I11" s="53" t="s">
        <v>171</v>
      </c>
      <c r="J11" s="57" t="s">
        <v>282</v>
      </c>
    </row>
    <row r="12" spans="1:10" ht="29" x14ac:dyDescent="0.35">
      <c r="A12" s="8" t="s">
        <v>24</v>
      </c>
      <c r="B12" s="9" t="s">
        <v>7</v>
      </c>
      <c r="C12" s="10" t="s">
        <v>7</v>
      </c>
      <c r="D12" s="11" t="s">
        <v>6</v>
      </c>
      <c r="E12" s="42">
        <v>101</v>
      </c>
      <c r="F12" s="15" t="s">
        <v>321</v>
      </c>
      <c r="G12" s="56" t="s">
        <v>284</v>
      </c>
      <c r="H12" s="56" t="s">
        <v>154</v>
      </c>
      <c r="I12" s="53" t="s">
        <v>171</v>
      </c>
      <c r="J12" s="57" t="s">
        <v>282</v>
      </c>
    </row>
    <row r="13" spans="1:10" ht="25" x14ac:dyDescent="0.35">
      <c r="A13" s="8" t="s">
        <v>25</v>
      </c>
      <c r="B13" s="9" t="s">
        <v>7</v>
      </c>
      <c r="C13" s="10" t="s">
        <v>7</v>
      </c>
      <c r="D13" s="11" t="s">
        <v>6</v>
      </c>
      <c r="E13" s="39">
        <v>1</v>
      </c>
      <c r="F13" s="16" t="s">
        <v>26</v>
      </c>
      <c r="G13" s="56" t="s">
        <v>284</v>
      </c>
      <c r="H13" s="56" t="s">
        <v>154</v>
      </c>
      <c r="I13" s="53" t="s">
        <v>171</v>
      </c>
      <c r="J13" s="57" t="s">
        <v>278</v>
      </c>
    </row>
    <row r="14" spans="1:10" ht="25" x14ac:dyDescent="0.35">
      <c r="A14" s="8" t="s">
        <v>27</v>
      </c>
      <c r="B14" s="9" t="s">
        <v>7</v>
      </c>
      <c r="C14" s="10" t="s">
        <v>7</v>
      </c>
      <c r="D14" s="11" t="s">
        <v>6</v>
      </c>
      <c r="E14" s="42">
        <v>101</v>
      </c>
      <c r="F14" s="160" t="s">
        <v>322</v>
      </c>
      <c r="G14" s="56" t="s">
        <v>284</v>
      </c>
      <c r="H14" s="56" t="s">
        <v>154</v>
      </c>
      <c r="I14" s="53" t="s">
        <v>171</v>
      </c>
      <c r="J14" s="57" t="s">
        <v>278</v>
      </c>
    </row>
    <row r="15" spans="1:10" ht="25" x14ac:dyDescent="0.35">
      <c r="A15" s="8" t="s">
        <v>28</v>
      </c>
      <c r="B15" s="9" t="s">
        <v>7</v>
      </c>
      <c r="C15" s="10" t="s">
        <v>7</v>
      </c>
      <c r="D15" s="11" t="s">
        <v>6</v>
      </c>
      <c r="E15" s="39">
        <v>1</v>
      </c>
      <c r="F15" s="161" t="s">
        <v>29</v>
      </c>
      <c r="G15" s="56" t="s">
        <v>284</v>
      </c>
      <c r="H15" s="56" t="s">
        <v>154</v>
      </c>
      <c r="I15" s="53" t="s">
        <v>171</v>
      </c>
      <c r="J15" s="57" t="s">
        <v>174</v>
      </c>
    </row>
    <row r="16" spans="1:10" ht="25" x14ac:dyDescent="0.35">
      <c r="A16" s="8" t="s">
        <v>30</v>
      </c>
      <c r="B16" s="9" t="s">
        <v>7</v>
      </c>
      <c r="C16" s="10" t="s">
        <v>7</v>
      </c>
      <c r="D16" s="11" t="s">
        <v>6</v>
      </c>
      <c r="E16" s="42">
        <v>101</v>
      </c>
      <c r="F16" s="17" t="s">
        <v>323</v>
      </c>
      <c r="G16" s="56" t="s">
        <v>284</v>
      </c>
      <c r="H16" s="56" t="s">
        <v>154</v>
      </c>
      <c r="I16" s="53" t="s">
        <v>171</v>
      </c>
      <c r="J16" s="57" t="s">
        <v>174</v>
      </c>
    </row>
    <row r="17" spans="1:10" ht="25" x14ac:dyDescent="0.35">
      <c r="A17" s="8" t="s">
        <v>31</v>
      </c>
      <c r="B17" s="10" t="s">
        <v>6</v>
      </c>
      <c r="C17" s="10" t="s">
        <v>7</v>
      </c>
      <c r="D17" s="11" t="s">
        <v>7</v>
      </c>
      <c r="E17" s="20">
        <v>0</v>
      </c>
      <c r="F17" s="162" t="s">
        <v>32</v>
      </c>
      <c r="G17" s="54" t="s">
        <v>253</v>
      </c>
      <c r="H17" s="55" t="s">
        <v>153</v>
      </c>
      <c r="I17" s="53" t="s">
        <v>171</v>
      </c>
      <c r="J17" s="53" t="s">
        <v>172</v>
      </c>
    </row>
    <row r="18" spans="1:10" ht="29" x14ac:dyDescent="0.35">
      <c r="A18" s="8" t="s">
        <v>33</v>
      </c>
      <c r="B18" s="10" t="s">
        <v>6</v>
      </c>
      <c r="C18" s="10" t="s">
        <v>6</v>
      </c>
      <c r="D18" s="11" t="s">
        <v>6</v>
      </c>
      <c r="E18" s="39">
        <v>1</v>
      </c>
      <c r="F18" s="18" t="s">
        <v>34</v>
      </c>
      <c r="G18" s="56" t="s">
        <v>284</v>
      </c>
      <c r="H18" s="56" t="s">
        <v>153</v>
      </c>
      <c r="I18" s="53" t="s">
        <v>172</v>
      </c>
      <c r="J18" s="57" t="s">
        <v>174</v>
      </c>
    </row>
    <row r="19" spans="1:10" ht="29" x14ac:dyDescent="0.35">
      <c r="A19" s="8" t="s">
        <v>35</v>
      </c>
      <c r="B19" s="10" t="s">
        <v>6</v>
      </c>
      <c r="C19" s="10" t="s">
        <v>6</v>
      </c>
      <c r="D19" s="11" t="s">
        <v>6</v>
      </c>
      <c r="E19" s="39">
        <v>1</v>
      </c>
      <c r="F19" s="18" t="s">
        <v>36</v>
      </c>
      <c r="G19" s="56" t="s">
        <v>284</v>
      </c>
      <c r="H19" s="56" t="s">
        <v>153</v>
      </c>
      <c r="I19" s="53" t="s">
        <v>172</v>
      </c>
      <c r="J19" s="57" t="s">
        <v>173</v>
      </c>
    </row>
    <row r="20" spans="1:10" ht="29" x14ac:dyDescent="0.35">
      <c r="A20" s="8" t="s">
        <v>37</v>
      </c>
      <c r="B20" s="10" t="s">
        <v>6</v>
      </c>
      <c r="C20" s="10" t="s">
        <v>6</v>
      </c>
      <c r="D20" s="11" t="s">
        <v>6</v>
      </c>
      <c r="E20" s="39">
        <v>1</v>
      </c>
      <c r="F20" s="12" t="s">
        <v>38</v>
      </c>
      <c r="G20" s="56" t="s">
        <v>284</v>
      </c>
      <c r="H20" s="56" t="s">
        <v>153</v>
      </c>
      <c r="I20" s="53" t="s">
        <v>172</v>
      </c>
      <c r="J20" s="57" t="s">
        <v>282</v>
      </c>
    </row>
    <row r="21" spans="1:10" ht="29" x14ac:dyDescent="0.35">
      <c r="A21" s="8" t="s">
        <v>39</v>
      </c>
      <c r="B21" s="10" t="s">
        <v>6</v>
      </c>
      <c r="C21" s="10" t="s">
        <v>6</v>
      </c>
      <c r="D21" s="11" t="s">
        <v>6</v>
      </c>
      <c r="E21" s="39">
        <v>1</v>
      </c>
      <c r="F21" s="18" t="s">
        <v>40</v>
      </c>
      <c r="G21" s="56" t="s">
        <v>284</v>
      </c>
      <c r="H21" s="56" t="s">
        <v>153</v>
      </c>
      <c r="I21" s="53" t="s">
        <v>172</v>
      </c>
      <c r="J21" s="57" t="s">
        <v>282</v>
      </c>
    </row>
    <row r="22" spans="1:10" ht="29" x14ac:dyDescent="0.35">
      <c r="A22" s="8" t="s">
        <v>41</v>
      </c>
      <c r="B22" s="10" t="s">
        <v>6</v>
      </c>
      <c r="C22" s="10" t="s">
        <v>6</v>
      </c>
      <c r="D22" s="11" t="s">
        <v>6</v>
      </c>
      <c r="E22" s="39">
        <v>1</v>
      </c>
      <c r="F22" s="18" t="s">
        <v>42</v>
      </c>
      <c r="G22" s="56" t="s">
        <v>284</v>
      </c>
      <c r="H22" s="56" t="s">
        <v>153</v>
      </c>
      <c r="I22" s="53" t="s">
        <v>172</v>
      </c>
      <c r="J22" s="57" t="s">
        <v>278</v>
      </c>
    </row>
    <row r="23" spans="1:10" ht="29" x14ac:dyDescent="0.35">
      <c r="A23" s="8" t="s">
        <v>43</v>
      </c>
      <c r="B23" s="10" t="s">
        <v>6</v>
      </c>
      <c r="C23" s="10" t="s">
        <v>6</v>
      </c>
      <c r="D23" s="11" t="s">
        <v>6</v>
      </c>
      <c r="E23" s="39">
        <v>1</v>
      </c>
      <c r="F23" s="18" t="s">
        <v>44</v>
      </c>
      <c r="G23" s="56" t="s">
        <v>284</v>
      </c>
      <c r="H23" s="56" t="s">
        <v>153</v>
      </c>
      <c r="I23" s="53" t="s">
        <v>172</v>
      </c>
      <c r="J23" s="57" t="s">
        <v>281</v>
      </c>
    </row>
    <row r="24" spans="1:10" ht="25" x14ac:dyDescent="0.35">
      <c r="A24" s="8" t="s">
        <v>45</v>
      </c>
      <c r="B24" s="9" t="s">
        <v>6</v>
      </c>
      <c r="C24" s="10" t="s">
        <v>7</v>
      </c>
      <c r="D24" s="11" t="s">
        <v>7</v>
      </c>
      <c r="E24" s="20">
        <v>0</v>
      </c>
      <c r="F24" s="129" t="s">
        <v>46</v>
      </c>
      <c r="G24" s="54" t="s">
        <v>197</v>
      </c>
      <c r="H24" s="55" t="s">
        <v>153</v>
      </c>
      <c r="I24" s="53" t="s">
        <v>175</v>
      </c>
      <c r="J24" s="53"/>
    </row>
    <row r="25" spans="1:10" ht="25" x14ac:dyDescent="0.35">
      <c r="A25" s="8" t="s">
        <v>47</v>
      </c>
      <c r="B25" s="9" t="s">
        <v>7</v>
      </c>
      <c r="C25" s="9" t="s">
        <v>7</v>
      </c>
      <c r="D25" s="19" t="s">
        <v>6</v>
      </c>
      <c r="E25" s="43">
        <v>110</v>
      </c>
      <c r="F25" s="127" t="s">
        <v>48</v>
      </c>
      <c r="G25" s="117" t="s">
        <v>284</v>
      </c>
      <c r="H25" s="117" t="s">
        <v>154</v>
      </c>
      <c r="I25" s="53" t="s">
        <v>175</v>
      </c>
      <c r="J25" s="53"/>
    </row>
    <row r="26" spans="1:10" ht="25" x14ac:dyDescent="0.35">
      <c r="A26" s="8" t="s">
        <v>49</v>
      </c>
      <c r="B26" s="9" t="s">
        <v>7</v>
      </c>
      <c r="C26" s="9" t="s">
        <v>7</v>
      </c>
      <c r="D26" s="19" t="s">
        <v>6</v>
      </c>
      <c r="E26" s="41">
        <v>10</v>
      </c>
      <c r="F26" s="21" t="s">
        <v>50</v>
      </c>
      <c r="G26" s="117" t="s">
        <v>284</v>
      </c>
      <c r="H26" s="117" t="s">
        <v>154</v>
      </c>
      <c r="I26" s="53" t="s">
        <v>175</v>
      </c>
      <c r="J26" s="53"/>
    </row>
    <row r="27" spans="1:10" x14ac:dyDescent="0.35">
      <c r="A27" s="8" t="s">
        <v>51</v>
      </c>
      <c r="B27" s="9" t="s">
        <v>6</v>
      </c>
      <c r="C27" s="10" t="s">
        <v>7</v>
      </c>
      <c r="D27" s="11" t="s">
        <v>7</v>
      </c>
      <c r="E27" s="20">
        <v>0</v>
      </c>
      <c r="F27" s="129" t="s">
        <v>52</v>
      </c>
      <c r="G27" s="54" t="s">
        <v>256</v>
      </c>
      <c r="H27" s="55" t="s">
        <v>153</v>
      </c>
      <c r="I27" s="53" t="s">
        <v>176</v>
      </c>
      <c r="J27" s="53"/>
    </row>
    <row r="28" spans="1:10" ht="25" x14ac:dyDescent="0.35">
      <c r="A28" s="8" t="s">
        <v>53</v>
      </c>
      <c r="B28" s="9" t="s">
        <v>7</v>
      </c>
      <c r="C28" s="10" t="s">
        <v>7</v>
      </c>
      <c r="D28" s="11" t="s">
        <v>6</v>
      </c>
      <c r="E28" s="43">
        <v>110</v>
      </c>
      <c r="F28" s="129" t="s">
        <v>54</v>
      </c>
      <c r="G28" s="53" t="s">
        <v>249</v>
      </c>
      <c r="H28" s="52" t="s">
        <v>154</v>
      </c>
      <c r="I28" s="53" t="s">
        <v>176</v>
      </c>
      <c r="J28" s="53"/>
    </row>
    <row r="29" spans="1:10" ht="25" x14ac:dyDescent="0.35">
      <c r="A29" s="8" t="s">
        <v>55</v>
      </c>
      <c r="B29" s="9" t="s">
        <v>7</v>
      </c>
      <c r="C29" s="10" t="s">
        <v>7</v>
      </c>
      <c r="D29" s="11" t="s">
        <v>6</v>
      </c>
      <c r="E29" s="41">
        <v>10</v>
      </c>
      <c r="F29" s="13" t="s">
        <v>56</v>
      </c>
      <c r="G29" s="53" t="s">
        <v>249</v>
      </c>
      <c r="H29" s="52" t="s">
        <v>154</v>
      </c>
      <c r="I29" s="53" t="s">
        <v>176</v>
      </c>
      <c r="J29" s="53"/>
    </row>
    <row r="30" spans="1:10" ht="25" x14ac:dyDescent="0.35">
      <c r="A30" s="8" t="s">
        <v>57</v>
      </c>
      <c r="B30" s="9" t="s">
        <v>6</v>
      </c>
      <c r="C30" s="10" t="s">
        <v>7</v>
      </c>
      <c r="D30" s="11" t="s">
        <v>7</v>
      </c>
      <c r="E30" s="20">
        <v>0</v>
      </c>
      <c r="F30" s="129" t="s">
        <v>58</v>
      </c>
      <c r="G30" s="54" t="s">
        <v>155</v>
      </c>
      <c r="H30" s="55" t="s">
        <v>153</v>
      </c>
      <c r="I30" s="53" t="s">
        <v>175</v>
      </c>
      <c r="J30" s="53" t="s">
        <v>176</v>
      </c>
    </row>
    <row r="31" spans="1:10" x14ac:dyDescent="0.35">
      <c r="A31" s="8" t="s">
        <v>59</v>
      </c>
      <c r="B31" s="9" t="s">
        <v>6</v>
      </c>
      <c r="C31" s="10" t="s">
        <v>7</v>
      </c>
      <c r="D31" s="11" t="s">
        <v>7</v>
      </c>
      <c r="E31" s="20">
        <v>0</v>
      </c>
      <c r="F31" s="163" t="s">
        <v>60</v>
      </c>
      <c r="G31" s="54" t="s">
        <v>257</v>
      </c>
      <c r="H31" s="55" t="s">
        <v>153</v>
      </c>
      <c r="I31" s="53" t="s">
        <v>173</v>
      </c>
      <c r="J31" s="53" t="s">
        <v>172</v>
      </c>
    </row>
    <row r="32" spans="1:10" ht="29" x14ac:dyDescent="0.35">
      <c r="A32" s="8" t="s">
        <v>61</v>
      </c>
      <c r="B32" s="9" t="s">
        <v>6</v>
      </c>
      <c r="C32" s="10" t="s">
        <v>7</v>
      </c>
      <c r="D32" s="11" t="s">
        <v>7</v>
      </c>
      <c r="E32" s="20">
        <v>0</v>
      </c>
      <c r="F32" s="22" t="s">
        <v>62</v>
      </c>
      <c r="G32" s="54" t="s">
        <v>258</v>
      </c>
      <c r="H32" s="55" t="s">
        <v>153</v>
      </c>
      <c r="I32" s="53" t="s">
        <v>282</v>
      </c>
      <c r="J32" s="53" t="s">
        <v>172</v>
      </c>
    </row>
    <row r="33" spans="1:10" x14ac:dyDescent="0.35">
      <c r="A33" s="8" t="s">
        <v>63</v>
      </c>
      <c r="B33" s="9" t="s">
        <v>6</v>
      </c>
      <c r="C33" s="10" t="s">
        <v>7</v>
      </c>
      <c r="D33" s="11" t="s">
        <v>7</v>
      </c>
      <c r="E33" s="20">
        <v>0</v>
      </c>
      <c r="F33" s="22" t="s">
        <v>64</v>
      </c>
      <c r="G33" s="54" t="s">
        <v>259</v>
      </c>
      <c r="H33" s="55" t="s">
        <v>153</v>
      </c>
      <c r="I33" s="53" t="s">
        <v>174</v>
      </c>
      <c r="J33" s="53" t="s">
        <v>172</v>
      </c>
    </row>
    <row r="34" spans="1:10" ht="25" x14ac:dyDescent="0.35">
      <c r="A34" s="8" t="s">
        <v>65</v>
      </c>
      <c r="B34" s="10" t="s">
        <v>7</v>
      </c>
      <c r="C34" s="10" t="s">
        <v>7</v>
      </c>
      <c r="D34" s="11" t="s">
        <v>6</v>
      </c>
      <c r="E34" s="39">
        <v>1</v>
      </c>
      <c r="F34" s="22" t="s">
        <v>66</v>
      </c>
      <c r="G34" s="56" t="s">
        <v>284</v>
      </c>
      <c r="H34" s="56" t="s">
        <v>154</v>
      </c>
      <c r="I34" s="57" t="s">
        <v>278</v>
      </c>
      <c r="J34" s="53" t="s">
        <v>172</v>
      </c>
    </row>
    <row r="35" spans="1:10" ht="25" x14ac:dyDescent="0.35">
      <c r="A35" s="8" t="s">
        <v>67</v>
      </c>
      <c r="B35" s="10" t="s">
        <v>7</v>
      </c>
      <c r="C35" s="10" t="s">
        <v>7</v>
      </c>
      <c r="D35" s="11" t="s">
        <v>6</v>
      </c>
      <c r="E35" s="39">
        <v>1</v>
      </c>
      <c r="F35" s="13" t="s">
        <v>68</v>
      </c>
      <c r="G35" s="56" t="s">
        <v>284</v>
      </c>
      <c r="H35" s="56" t="s">
        <v>154</v>
      </c>
      <c r="I35" s="53" t="s">
        <v>281</v>
      </c>
      <c r="J35" s="53" t="s">
        <v>172</v>
      </c>
    </row>
    <row r="36" spans="1:10" ht="29" x14ac:dyDescent="0.35">
      <c r="A36" s="8" t="s">
        <v>69</v>
      </c>
      <c r="B36" s="10" t="s">
        <v>7</v>
      </c>
      <c r="C36" s="10" t="s">
        <v>7</v>
      </c>
      <c r="D36" s="11" t="s">
        <v>6</v>
      </c>
      <c r="E36" s="39">
        <v>1</v>
      </c>
      <c r="F36" s="161" t="s">
        <v>70</v>
      </c>
      <c r="G36" s="56" t="s">
        <v>284</v>
      </c>
      <c r="H36" s="56" t="s">
        <v>154</v>
      </c>
      <c r="I36" s="53" t="s">
        <v>282</v>
      </c>
      <c r="J36" s="57" t="s">
        <v>173</v>
      </c>
    </row>
    <row r="37" spans="1:10" ht="29" x14ac:dyDescent="0.35">
      <c r="A37" s="8" t="s">
        <v>71</v>
      </c>
      <c r="B37" s="10" t="s">
        <v>7</v>
      </c>
      <c r="C37" s="10" t="s">
        <v>7</v>
      </c>
      <c r="D37" s="11" t="s">
        <v>6</v>
      </c>
      <c r="E37" s="39">
        <v>1</v>
      </c>
      <c r="F37" s="17" t="s">
        <v>72</v>
      </c>
      <c r="G37" s="56" t="s">
        <v>284</v>
      </c>
      <c r="H37" s="56" t="s">
        <v>154</v>
      </c>
      <c r="I37" s="53" t="s">
        <v>282</v>
      </c>
      <c r="J37" s="57" t="s">
        <v>173</v>
      </c>
    </row>
    <row r="38" spans="1:10" ht="25" x14ac:dyDescent="0.35">
      <c r="A38" s="8" t="s">
        <v>73</v>
      </c>
      <c r="B38" s="10" t="s">
        <v>7</v>
      </c>
      <c r="C38" s="10" t="s">
        <v>7</v>
      </c>
      <c r="D38" s="11" t="s">
        <v>6</v>
      </c>
      <c r="E38" s="39">
        <v>1</v>
      </c>
      <c r="F38" s="23" t="s">
        <v>74</v>
      </c>
      <c r="G38" s="56" t="s">
        <v>284</v>
      </c>
      <c r="H38" s="56" t="s">
        <v>154</v>
      </c>
      <c r="I38" s="53" t="s">
        <v>173</v>
      </c>
      <c r="J38" s="53" t="s">
        <v>174</v>
      </c>
    </row>
    <row r="39" spans="1:10" ht="25" x14ac:dyDescent="0.35">
      <c r="A39" s="8" t="s">
        <v>75</v>
      </c>
      <c r="B39" s="10" t="s">
        <v>7</v>
      </c>
      <c r="C39" s="10" t="s">
        <v>7</v>
      </c>
      <c r="D39" s="11" t="s">
        <v>6</v>
      </c>
      <c r="E39" s="39">
        <v>1</v>
      </c>
      <c r="F39" s="23" t="s">
        <v>76</v>
      </c>
      <c r="G39" s="56" t="s">
        <v>284</v>
      </c>
      <c r="H39" s="56" t="s">
        <v>154</v>
      </c>
      <c r="I39" s="53" t="s">
        <v>173</v>
      </c>
      <c r="J39" s="53" t="s">
        <v>174</v>
      </c>
    </row>
    <row r="40" spans="1:10" ht="25" x14ac:dyDescent="0.35">
      <c r="A40" s="8" t="s">
        <v>77</v>
      </c>
      <c r="B40" s="10" t="s">
        <v>7</v>
      </c>
      <c r="C40" s="10" t="s">
        <v>7</v>
      </c>
      <c r="D40" s="11" t="s">
        <v>6</v>
      </c>
      <c r="E40" s="39">
        <v>1</v>
      </c>
      <c r="F40" s="23" t="s">
        <v>78</v>
      </c>
      <c r="G40" s="56" t="s">
        <v>284</v>
      </c>
      <c r="H40" s="56" t="s">
        <v>154</v>
      </c>
      <c r="I40" s="53" t="s">
        <v>173</v>
      </c>
      <c r="J40" s="57" t="s">
        <v>278</v>
      </c>
    </row>
    <row r="41" spans="1:10" ht="25" x14ac:dyDescent="0.35">
      <c r="A41" s="8" t="s">
        <v>79</v>
      </c>
      <c r="B41" s="10" t="s">
        <v>7</v>
      </c>
      <c r="C41" s="10" t="s">
        <v>7</v>
      </c>
      <c r="D41" s="11" t="s">
        <v>6</v>
      </c>
      <c r="E41" s="39">
        <v>1</v>
      </c>
      <c r="F41" s="23" t="s">
        <v>80</v>
      </c>
      <c r="G41" s="56" t="s">
        <v>284</v>
      </c>
      <c r="H41" s="56" t="s">
        <v>154</v>
      </c>
      <c r="I41" s="53" t="s">
        <v>173</v>
      </c>
      <c r="J41" s="57" t="s">
        <v>278</v>
      </c>
    </row>
    <row r="42" spans="1:10" ht="25" x14ac:dyDescent="0.35">
      <c r="A42" s="8" t="s">
        <v>81</v>
      </c>
      <c r="B42" s="10" t="s">
        <v>7</v>
      </c>
      <c r="C42" s="10" t="s">
        <v>7</v>
      </c>
      <c r="D42" s="11" t="s">
        <v>6</v>
      </c>
      <c r="E42" s="39">
        <v>1</v>
      </c>
      <c r="F42" s="23" t="s">
        <v>82</v>
      </c>
      <c r="G42" s="56" t="s">
        <v>284</v>
      </c>
      <c r="H42" s="56" t="s">
        <v>154</v>
      </c>
      <c r="I42" s="53" t="s">
        <v>173</v>
      </c>
      <c r="J42" s="53" t="s">
        <v>281</v>
      </c>
    </row>
    <row r="43" spans="1:10" ht="25" x14ac:dyDescent="0.35">
      <c r="A43" s="8" t="s">
        <v>83</v>
      </c>
      <c r="B43" s="10" t="s">
        <v>7</v>
      </c>
      <c r="C43" s="10" t="s">
        <v>7</v>
      </c>
      <c r="D43" s="11" t="s">
        <v>6</v>
      </c>
      <c r="E43" s="39">
        <v>1</v>
      </c>
      <c r="F43" s="23" t="s">
        <v>84</v>
      </c>
      <c r="G43" s="56" t="s">
        <v>284</v>
      </c>
      <c r="H43" s="56" t="s">
        <v>154</v>
      </c>
      <c r="I43" s="53" t="s">
        <v>173</v>
      </c>
      <c r="J43" s="53" t="s">
        <v>281</v>
      </c>
    </row>
    <row r="44" spans="1:10" ht="29" x14ac:dyDescent="0.35">
      <c r="A44" s="8" t="s">
        <v>85</v>
      </c>
      <c r="B44" s="10" t="s">
        <v>7</v>
      </c>
      <c r="C44" s="10" t="s">
        <v>7</v>
      </c>
      <c r="D44" s="11" t="s">
        <v>6</v>
      </c>
      <c r="E44" s="39">
        <v>1</v>
      </c>
      <c r="F44" s="23" t="s">
        <v>86</v>
      </c>
      <c r="G44" s="56" t="s">
        <v>284</v>
      </c>
      <c r="H44" s="56" t="s">
        <v>154</v>
      </c>
      <c r="I44" s="53" t="s">
        <v>282</v>
      </c>
      <c r="J44" s="53" t="s">
        <v>174</v>
      </c>
    </row>
    <row r="45" spans="1:10" ht="29" x14ac:dyDescent="0.35">
      <c r="A45" s="8" t="s">
        <v>87</v>
      </c>
      <c r="B45" s="10" t="s">
        <v>7</v>
      </c>
      <c r="C45" s="10" t="s">
        <v>7</v>
      </c>
      <c r="D45" s="11" t="s">
        <v>6</v>
      </c>
      <c r="E45" s="39">
        <v>1</v>
      </c>
      <c r="F45" s="23" t="s">
        <v>88</v>
      </c>
      <c r="G45" s="56" t="s">
        <v>284</v>
      </c>
      <c r="H45" s="56" t="s">
        <v>154</v>
      </c>
      <c r="I45" s="53" t="s">
        <v>282</v>
      </c>
      <c r="J45" s="53" t="s">
        <v>174</v>
      </c>
    </row>
    <row r="46" spans="1:10" ht="29" x14ac:dyDescent="0.35">
      <c r="A46" s="8" t="s">
        <v>89</v>
      </c>
      <c r="B46" s="10" t="s">
        <v>7</v>
      </c>
      <c r="C46" s="10" t="s">
        <v>7</v>
      </c>
      <c r="D46" s="11" t="s">
        <v>6</v>
      </c>
      <c r="E46" s="39">
        <v>1</v>
      </c>
      <c r="F46" s="23" t="s">
        <v>90</v>
      </c>
      <c r="G46" s="56" t="s">
        <v>284</v>
      </c>
      <c r="H46" s="56" t="s">
        <v>154</v>
      </c>
      <c r="I46" s="53" t="s">
        <v>282</v>
      </c>
      <c r="J46" s="57" t="s">
        <v>278</v>
      </c>
    </row>
    <row r="47" spans="1:10" ht="29" x14ac:dyDescent="0.35">
      <c r="A47" s="8" t="s">
        <v>91</v>
      </c>
      <c r="B47" s="10" t="s">
        <v>7</v>
      </c>
      <c r="C47" s="10" t="s">
        <v>7</v>
      </c>
      <c r="D47" s="11" t="s">
        <v>6</v>
      </c>
      <c r="E47" s="39">
        <v>1</v>
      </c>
      <c r="F47" s="23" t="s">
        <v>92</v>
      </c>
      <c r="G47" s="56" t="s">
        <v>284</v>
      </c>
      <c r="H47" s="56" t="s">
        <v>154</v>
      </c>
      <c r="I47" s="53" t="s">
        <v>282</v>
      </c>
      <c r="J47" s="57" t="s">
        <v>278</v>
      </c>
    </row>
    <row r="48" spans="1:10" ht="29" x14ac:dyDescent="0.35">
      <c r="A48" s="8" t="s">
        <v>93</v>
      </c>
      <c r="B48" s="10" t="s">
        <v>7</v>
      </c>
      <c r="C48" s="10" t="s">
        <v>7</v>
      </c>
      <c r="D48" s="11" t="s">
        <v>6</v>
      </c>
      <c r="E48" s="39">
        <v>1</v>
      </c>
      <c r="F48" s="23" t="s">
        <v>94</v>
      </c>
      <c r="G48" s="56" t="s">
        <v>284</v>
      </c>
      <c r="H48" s="56" t="s">
        <v>154</v>
      </c>
      <c r="I48" s="53" t="s">
        <v>282</v>
      </c>
      <c r="J48" s="53" t="s">
        <v>281</v>
      </c>
    </row>
    <row r="49" spans="1:10" ht="29" x14ac:dyDescent="0.35">
      <c r="A49" s="8" t="s">
        <v>95</v>
      </c>
      <c r="B49" s="10" t="s">
        <v>7</v>
      </c>
      <c r="C49" s="10" t="s">
        <v>7</v>
      </c>
      <c r="D49" s="11" t="s">
        <v>6</v>
      </c>
      <c r="E49" s="39">
        <v>1</v>
      </c>
      <c r="F49" s="23" t="s">
        <v>96</v>
      </c>
      <c r="G49" s="56" t="s">
        <v>284</v>
      </c>
      <c r="H49" s="56" t="s">
        <v>154</v>
      </c>
      <c r="I49" s="53" t="s">
        <v>282</v>
      </c>
      <c r="J49" s="53" t="s">
        <v>281</v>
      </c>
    </row>
    <row r="50" spans="1:10" ht="25" x14ac:dyDescent="0.35">
      <c r="A50" s="8" t="s">
        <v>97</v>
      </c>
      <c r="B50" s="10" t="s">
        <v>7</v>
      </c>
      <c r="C50" s="10" t="s">
        <v>7</v>
      </c>
      <c r="D50" s="11" t="s">
        <v>6</v>
      </c>
      <c r="E50" s="39">
        <v>1</v>
      </c>
      <c r="F50" s="23" t="s">
        <v>98</v>
      </c>
      <c r="G50" s="56" t="s">
        <v>284</v>
      </c>
      <c r="H50" s="56" t="s">
        <v>154</v>
      </c>
      <c r="I50" s="53" t="s">
        <v>174</v>
      </c>
      <c r="J50" s="57" t="s">
        <v>278</v>
      </c>
    </row>
    <row r="51" spans="1:10" ht="25" x14ac:dyDescent="0.35">
      <c r="A51" s="8" t="s">
        <v>99</v>
      </c>
      <c r="B51" s="10" t="s">
        <v>7</v>
      </c>
      <c r="C51" s="10" t="s">
        <v>7</v>
      </c>
      <c r="D51" s="11" t="s">
        <v>6</v>
      </c>
      <c r="E51" s="39">
        <v>1</v>
      </c>
      <c r="F51" s="23" t="s">
        <v>100</v>
      </c>
      <c r="G51" s="56" t="s">
        <v>284</v>
      </c>
      <c r="H51" s="56" t="s">
        <v>154</v>
      </c>
      <c r="I51" s="53" t="s">
        <v>174</v>
      </c>
      <c r="J51" s="57" t="s">
        <v>278</v>
      </c>
    </row>
    <row r="52" spans="1:10" ht="25" x14ac:dyDescent="0.35">
      <c r="A52" s="8" t="s">
        <v>101</v>
      </c>
      <c r="B52" s="10" t="s">
        <v>7</v>
      </c>
      <c r="C52" s="10" t="s">
        <v>7</v>
      </c>
      <c r="D52" s="11" t="s">
        <v>6</v>
      </c>
      <c r="E52" s="39">
        <v>1</v>
      </c>
      <c r="F52" s="23" t="s">
        <v>102</v>
      </c>
      <c r="G52" s="56" t="s">
        <v>284</v>
      </c>
      <c r="H52" s="56" t="s">
        <v>154</v>
      </c>
      <c r="I52" s="53" t="s">
        <v>174</v>
      </c>
      <c r="J52" s="53" t="s">
        <v>281</v>
      </c>
    </row>
    <row r="53" spans="1:10" ht="25" x14ac:dyDescent="0.35">
      <c r="A53" s="8" t="s">
        <v>103</v>
      </c>
      <c r="B53" s="10" t="s">
        <v>7</v>
      </c>
      <c r="C53" s="10" t="s">
        <v>7</v>
      </c>
      <c r="D53" s="11" t="s">
        <v>6</v>
      </c>
      <c r="E53" s="39">
        <v>1</v>
      </c>
      <c r="F53" s="23" t="s">
        <v>104</v>
      </c>
      <c r="G53" s="56" t="s">
        <v>284</v>
      </c>
      <c r="H53" s="56" t="s">
        <v>154</v>
      </c>
      <c r="I53" s="53" t="s">
        <v>174</v>
      </c>
      <c r="J53" s="53" t="s">
        <v>281</v>
      </c>
    </row>
    <row r="54" spans="1:10" ht="25" x14ac:dyDescent="0.35">
      <c r="A54" s="8" t="s">
        <v>105</v>
      </c>
      <c r="B54" s="10" t="s">
        <v>7</v>
      </c>
      <c r="C54" s="10" t="s">
        <v>7</v>
      </c>
      <c r="D54" s="11" t="s">
        <v>6</v>
      </c>
      <c r="E54" s="39">
        <v>1</v>
      </c>
      <c r="F54" s="17" t="s">
        <v>106</v>
      </c>
      <c r="G54" s="56" t="s">
        <v>284</v>
      </c>
      <c r="H54" s="56" t="s">
        <v>154</v>
      </c>
      <c r="I54" s="53" t="s">
        <v>281</v>
      </c>
      <c r="J54" s="57" t="s">
        <v>278</v>
      </c>
    </row>
    <row r="55" spans="1:10" ht="25" x14ac:dyDescent="0.35">
      <c r="A55" s="8" t="s">
        <v>107</v>
      </c>
      <c r="B55" s="10" t="s">
        <v>7</v>
      </c>
      <c r="C55" s="10" t="s">
        <v>7</v>
      </c>
      <c r="D55" s="11" t="s">
        <v>6</v>
      </c>
      <c r="E55" s="39">
        <v>1</v>
      </c>
      <c r="F55" s="17" t="s">
        <v>108</v>
      </c>
      <c r="G55" s="56" t="s">
        <v>284</v>
      </c>
      <c r="H55" s="56" t="s">
        <v>154</v>
      </c>
      <c r="I55" s="53" t="s">
        <v>281</v>
      </c>
      <c r="J55" s="57" t="s">
        <v>278</v>
      </c>
    </row>
    <row r="56" spans="1:10" ht="25" x14ac:dyDescent="0.35">
      <c r="A56" s="24" t="s">
        <v>109</v>
      </c>
      <c r="B56" s="9" t="s">
        <v>7</v>
      </c>
      <c r="C56" s="9" t="s">
        <v>7</v>
      </c>
      <c r="D56" s="19" t="s">
        <v>6</v>
      </c>
      <c r="E56" s="9">
        <v>100</v>
      </c>
      <c r="F56" s="136" t="s">
        <v>110</v>
      </c>
      <c r="G56" s="9" t="s">
        <v>260</v>
      </c>
      <c r="H56" s="52" t="s">
        <v>154</v>
      </c>
      <c r="I56" s="53" t="s">
        <v>278</v>
      </c>
      <c r="J56" s="53" t="s">
        <v>281</v>
      </c>
    </row>
    <row r="57" spans="1:10" x14ac:dyDescent="0.35">
      <c r="A57" s="24" t="s">
        <v>111</v>
      </c>
      <c r="B57" s="9" t="s">
        <v>6</v>
      </c>
      <c r="C57" s="9" t="s">
        <v>7</v>
      </c>
      <c r="D57" s="19" t="s">
        <v>6</v>
      </c>
      <c r="E57" s="20">
        <v>0</v>
      </c>
      <c r="F57" s="164" t="s">
        <v>112</v>
      </c>
      <c r="G57" s="54" t="s">
        <v>267</v>
      </c>
      <c r="H57" s="55" t="s">
        <v>153</v>
      </c>
      <c r="I57" s="53" t="s">
        <v>174</v>
      </c>
      <c r="J57" s="53"/>
    </row>
    <row r="58" spans="1:10" x14ac:dyDescent="0.35">
      <c r="A58" s="24" t="s">
        <v>113</v>
      </c>
      <c r="B58" s="9" t="s">
        <v>6</v>
      </c>
      <c r="C58" s="9" t="s">
        <v>7</v>
      </c>
      <c r="D58" s="19" t="s">
        <v>6</v>
      </c>
      <c r="E58" s="20">
        <v>0</v>
      </c>
      <c r="F58" s="25" t="s">
        <v>114</v>
      </c>
      <c r="G58" s="54" t="s">
        <v>268</v>
      </c>
      <c r="H58" s="55" t="s">
        <v>153</v>
      </c>
      <c r="I58" s="53" t="s">
        <v>173</v>
      </c>
      <c r="J58" s="53"/>
    </row>
    <row r="59" spans="1:10" ht="29" x14ac:dyDescent="0.35">
      <c r="A59" s="24" t="s">
        <v>115</v>
      </c>
      <c r="B59" s="9" t="s">
        <v>6</v>
      </c>
      <c r="C59" s="9" t="s">
        <v>7</v>
      </c>
      <c r="D59" s="19" t="s">
        <v>6</v>
      </c>
      <c r="E59" s="20">
        <v>0</v>
      </c>
      <c r="F59" s="25" t="s">
        <v>116</v>
      </c>
      <c r="G59" s="54" t="s">
        <v>269</v>
      </c>
      <c r="H59" s="55" t="s">
        <v>153</v>
      </c>
      <c r="I59" s="53" t="s">
        <v>282</v>
      </c>
      <c r="J59" s="53"/>
    </row>
    <row r="60" spans="1:10" x14ac:dyDescent="0.35">
      <c r="A60" s="24" t="s">
        <v>117</v>
      </c>
      <c r="B60" s="9" t="s">
        <v>6</v>
      </c>
      <c r="C60" s="9" t="s">
        <v>7</v>
      </c>
      <c r="D60" s="19" t="s">
        <v>6</v>
      </c>
      <c r="E60" s="20">
        <v>0</v>
      </c>
      <c r="F60" s="25" t="s">
        <v>118</v>
      </c>
      <c r="G60" s="54" t="s">
        <v>270</v>
      </c>
      <c r="H60" s="55" t="s">
        <v>153</v>
      </c>
      <c r="I60" s="57" t="s">
        <v>278</v>
      </c>
      <c r="J60" s="53"/>
    </row>
    <row r="61" spans="1:10" x14ac:dyDescent="0.35">
      <c r="A61" s="24" t="s">
        <v>119</v>
      </c>
      <c r="B61" s="9" t="s">
        <v>6</v>
      </c>
      <c r="C61" s="9" t="s">
        <v>7</v>
      </c>
      <c r="D61" s="19" t="s">
        <v>6</v>
      </c>
      <c r="E61" s="20">
        <v>0</v>
      </c>
      <c r="F61" s="25" t="s">
        <v>120</v>
      </c>
      <c r="G61" s="54" t="s">
        <v>271</v>
      </c>
      <c r="H61" s="55" t="s">
        <v>153</v>
      </c>
      <c r="I61" s="53" t="s">
        <v>281</v>
      </c>
      <c r="J61" s="53"/>
    </row>
    <row r="62" spans="1:10" ht="25" x14ac:dyDescent="0.35">
      <c r="A62" s="24" t="s">
        <v>121</v>
      </c>
      <c r="B62" s="9" t="s">
        <v>7</v>
      </c>
      <c r="C62" s="9" t="s">
        <v>7</v>
      </c>
      <c r="D62" s="19" t="s">
        <v>6</v>
      </c>
      <c r="E62" s="20">
        <v>0</v>
      </c>
      <c r="F62" s="25" t="s">
        <v>122</v>
      </c>
      <c r="G62" s="54" t="s">
        <v>272</v>
      </c>
      <c r="H62" s="55" t="s">
        <v>154</v>
      </c>
      <c r="I62" s="53" t="s">
        <v>174</v>
      </c>
      <c r="J62" s="53"/>
    </row>
    <row r="63" spans="1:10" ht="25" x14ac:dyDescent="0.35">
      <c r="A63" s="24" t="s">
        <v>123</v>
      </c>
      <c r="B63" s="9" t="s">
        <v>7</v>
      </c>
      <c r="C63" s="9" t="s">
        <v>7</v>
      </c>
      <c r="D63" s="19" t="s">
        <v>6</v>
      </c>
      <c r="E63" s="20">
        <v>0</v>
      </c>
      <c r="F63" s="25" t="s">
        <v>124</v>
      </c>
      <c r="G63" s="54" t="s">
        <v>273</v>
      </c>
      <c r="H63" s="55" t="s">
        <v>154</v>
      </c>
      <c r="I63" s="53" t="s">
        <v>173</v>
      </c>
      <c r="J63" s="53"/>
    </row>
    <row r="64" spans="1:10" ht="29" x14ac:dyDescent="0.35">
      <c r="A64" s="24" t="s">
        <v>125</v>
      </c>
      <c r="B64" s="9" t="s">
        <v>7</v>
      </c>
      <c r="C64" s="9" t="s">
        <v>7</v>
      </c>
      <c r="D64" s="19" t="s">
        <v>6</v>
      </c>
      <c r="E64" s="20">
        <v>0</v>
      </c>
      <c r="F64" s="25" t="s">
        <v>126</v>
      </c>
      <c r="G64" s="54" t="s">
        <v>274</v>
      </c>
      <c r="H64" s="55" t="s">
        <v>154</v>
      </c>
      <c r="I64" s="53" t="s">
        <v>282</v>
      </c>
      <c r="J64" s="53"/>
    </row>
    <row r="65" spans="1:10" ht="25" x14ac:dyDescent="0.35">
      <c r="A65" s="24" t="s">
        <v>127</v>
      </c>
      <c r="B65" s="9" t="s">
        <v>7</v>
      </c>
      <c r="C65" s="9" t="s">
        <v>7</v>
      </c>
      <c r="D65" s="19" t="s">
        <v>6</v>
      </c>
      <c r="E65" s="20">
        <v>0</v>
      </c>
      <c r="F65" s="25" t="s">
        <v>128</v>
      </c>
      <c r="G65" s="54" t="s">
        <v>275</v>
      </c>
      <c r="H65" s="55" t="s">
        <v>154</v>
      </c>
      <c r="I65" s="57" t="s">
        <v>278</v>
      </c>
      <c r="J65" s="53"/>
    </row>
    <row r="66" spans="1:10" ht="25" x14ac:dyDescent="0.35">
      <c r="A66" s="24" t="s">
        <v>129</v>
      </c>
      <c r="B66" s="9" t="s">
        <v>7</v>
      </c>
      <c r="C66" s="9" t="s">
        <v>7</v>
      </c>
      <c r="D66" s="19" t="s">
        <v>6</v>
      </c>
      <c r="E66" s="20">
        <v>0</v>
      </c>
      <c r="F66" s="25" t="s">
        <v>130</v>
      </c>
      <c r="G66" s="54" t="s">
        <v>276</v>
      </c>
      <c r="H66" s="55" t="s">
        <v>154</v>
      </c>
      <c r="I66" s="53" t="s">
        <v>281</v>
      </c>
      <c r="J66" s="53"/>
    </row>
    <row r="67" spans="1:10" x14ac:dyDescent="0.35">
      <c r="A67" s="24" t="s">
        <v>131</v>
      </c>
      <c r="B67" s="9" t="s">
        <v>6</v>
      </c>
      <c r="C67" s="9" t="s">
        <v>7</v>
      </c>
      <c r="D67" s="19" t="s">
        <v>6</v>
      </c>
      <c r="E67" s="20">
        <v>0</v>
      </c>
      <c r="F67" s="25" t="s">
        <v>132</v>
      </c>
      <c r="G67" s="54" t="s">
        <v>277</v>
      </c>
      <c r="H67" s="55" t="s">
        <v>153</v>
      </c>
      <c r="I67" s="53" t="s">
        <v>177</v>
      </c>
      <c r="J67" s="53"/>
    </row>
    <row r="68" spans="1:10" x14ac:dyDescent="0.35">
      <c r="A68" s="24" t="s">
        <v>133</v>
      </c>
      <c r="B68" s="9" t="s">
        <v>6</v>
      </c>
      <c r="C68" s="9" t="s">
        <v>7</v>
      </c>
      <c r="D68" s="19" t="s">
        <v>7</v>
      </c>
      <c r="E68" s="20">
        <v>0</v>
      </c>
      <c r="F68" s="136" t="s">
        <v>134</v>
      </c>
      <c r="G68" s="54" t="s">
        <v>261</v>
      </c>
      <c r="H68" s="55" t="s">
        <v>153</v>
      </c>
      <c r="I68" s="53" t="s">
        <v>170</v>
      </c>
      <c r="J68" s="53"/>
    </row>
    <row r="69" spans="1:10" x14ac:dyDescent="0.35">
      <c r="A69" s="24" t="s">
        <v>135</v>
      </c>
      <c r="B69" s="9" t="s">
        <v>7</v>
      </c>
      <c r="C69" s="9" t="s">
        <v>7</v>
      </c>
      <c r="D69" s="19" t="s">
        <v>6</v>
      </c>
      <c r="E69" s="44">
        <v>111</v>
      </c>
      <c r="F69" s="136" t="s">
        <v>302</v>
      </c>
      <c r="G69" s="120" t="s">
        <v>284</v>
      </c>
      <c r="H69" s="55" t="s">
        <v>153</v>
      </c>
      <c r="I69" s="53" t="s">
        <v>170</v>
      </c>
      <c r="J69" s="53"/>
    </row>
    <row r="70" spans="1:10" ht="29" x14ac:dyDescent="0.35">
      <c r="A70" s="8" t="s">
        <v>136</v>
      </c>
      <c r="B70" s="9" t="s">
        <v>7</v>
      </c>
      <c r="C70" s="9" t="s">
        <v>7</v>
      </c>
      <c r="D70" s="19" t="s">
        <v>6</v>
      </c>
      <c r="E70" s="20">
        <v>0</v>
      </c>
      <c r="F70" s="165" t="s">
        <v>137</v>
      </c>
      <c r="G70" s="118" t="s">
        <v>138</v>
      </c>
      <c r="H70" s="55" t="s">
        <v>154</v>
      </c>
      <c r="I70" s="53" t="s">
        <v>178</v>
      </c>
      <c r="J70" s="53"/>
    </row>
    <row r="71" spans="1:10" ht="29" x14ac:dyDescent="0.35">
      <c r="A71" s="8" t="s">
        <v>139</v>
      </c>
      <c r="B71" s="9" t="s">
        <v>7</v>
      </c>
      <c r="C71" s="9" t="s">
        <v>7</v>
      </c>
      <c r="D71" s="19" t="s">
        <v>6</v>
      </c>
      <c r="E71" s="38">
        <v>100</v>
      </c>
      <c r="F71" s="26" t="s">
        <v>140</v>
      </c>
      <c r="G71" s="118" t="s">
        <v>285</v>
      </c>
      <c r="H71" s="52" t="s">
        <v>154</v>
      </c>
      <c r="I71" s="53" t="s">
        <v>179</v>
      </c>
      <c r="J71" s="53"/>
    </row>
    <row r="72" spans="1:10" ht="29" x14ac:dyDescent="0.35">
      <c r="A72" s="8" t="s">
        <v>141</v>
      </c>
      <c r="B72" s="9" t="s">
        <v>7</v>
      </c>
      <c r="C72" s="9" t="s">
        <v>7</v>
      </c>
      <c r="D72" s="19" t="s">
        <v>6</v>
      </c>
      <c r="E72" s="40">
        <v>1</v>
      </c>
      <c r="F72" s="153" t="s">
        <v>303</v>
      </c>
      <c r="G72" s="56" t="s">
        <v>284</v>
      </c>
      <c r="H72" s="56" t="s">
        <v>154</v>
      </c>
      <c r="I72" s="53" t="s">
        <v>202</v>
      </c>
      <c r="J72" s="53" t="s">
        <v>205</v>
      </c>
    </row>
    <row r="73" spans="1:10" ht="29" x14ac:dyDescent="0.35">
      <c r="A73" s="8" t="s">
        <v>142</v>
      </c>
      <c r="B73" s="9" t="s">
        <v>7</v>
      </c>
      <c r="C73" s="9" t="s">
        <v>7</v>
      </c>
      <c r="D73" s="19" t="s">
        <v>6</v>
      </c>
      <c r="E73" s="40">
        <v>1</v>
      </c>
      <c r="F73" s="153" t="s">
        <v>304</v>
      </c>
      <c r="G73" s="56" t="s">
        <v>284</v>
      </c>
      <c r="H73" s="56" t="s">
        <v>154</v>
      </c>
      <c r="I73" s="53" t="s">
        <v>202</v>
      </c>
      <c r="J73" s="53" t="s">
        <v>206</v>
      </c>
    </row>
    <row r="74" spans="1:10" ht="29" x14ac:dyDescent="0.35">
      <c r="A74" s="8" t="s">
        <v>143</v>
      </c>
      <c r="B74" s="9" t="s">
        <v>7</v>
      </c>
      <c r="C74" s="9" t="s">
        <v>7</v>
      </c>
      <c r="D74" s="19" t="s">
        <v>6</v>
      </c>
      <c r="E74" s="40">
        <v>1</v>
      </c>
      <c r="F74" s="153" t="s">
        <v>305</v>
      </c>
      <c r="G74" s="56" t="s">
        <v>284</v>
      </c>
      <c r="H74" s="56" t="s">
        <v>154</v>
      </c>
      <c r="I74" s="53" t="s">
        <v>202</v>
      </c>
      <c r="J74" s="53" t="s">
        <v>206</v>
      </c>
    </row>
    <row r="75" spans="1:10" ht="29" x14ac:dyDescent="0.35">
      <c r="A75" s="8" t="s">
        <v>144</v>
      </c>
      <c r="B75" s="9" t="s">
        <v>7</v>
      </c>
      <c r="C75" s="9" t="s">
        <v>7</v>
      </c>
      <c r="D75" s="19" t="s">
        <v>6</v>
      </c>
      <c r="E75" s="40">
        <v>1</v>
      </c>
      <c r="F75" s="153" t="s">
        <v>306</v>
      </c>
      <c r="G75" s="56" t="s">
        <v>284</v>
      </c>
      <c r="H75" s="56" t="s">
        <v>154</v>
      </c>
      <c r="I75" s="53" t="s">
        <v>203</v>
      </c>
      <c r="J75" s="53" t="s">
        <v>205</v>
      </c>
    </row>
    <row r="76" spans="1:10" ht="29" x14ac:dyDescent="0.35">
      <c r="A76" s="8" t="s">
        <v>145</v>
      </c>
      <c r="B76" s="9" t="s">
        <v>7</v>
      </c>
      <c r="C76" s="9" t="s">
        <v>7</v>
      </c>
      <c r="D76" s="19" t="s">
        <v>6</v>
      </c>
      <c r="E76" s="40">
        <v>1</v>
      </c>
      <c r="F76" s="26" t="s">
        <v>307</v>
      </c>
      <c r="G76" s="56" t="s">
        <v>284</v>
      </c>
      <c r="H76" s="56" t="s">
        <v>154</v>
      </c>
      <c r="I76" s="53" t="s">
        <v>204</v>
      </c>
      <c r="J76" s="53" t="s">
        <v>206</v>
      </c>
    </row>
    <row r="77" spans="1:10" ht="29" x14ac:dyDescent="0.35">
      <c r="A77" s="8" t="s">
        <v>146</v>
      </c>
      <c r="B77" s="9" t="s">
        <v>7</v>
      </c>
      <c r="C77" s="9" t="s">
        <v>7</v>
      </c>
      <c r="D77" s="19" t="s">
        <v>6</v>
      </c>
      <c r="E77" s="40">
        <v>1</v>
      </c>
      <c r="F77" s="26" t="s">
        <v>308</v>
      </c>
      <c r="G77" s="56" t="s">
        <v>284</v>
      </c>
      <c r="H77" s="56" t="s">
        <v>154</v>
      </c>
      <c r="I77" s="53" t="s">
        <v>203</v>
      </c>
      <c r="J77" s="53" t="s">
        <v>206</v>
      </c>
    </row>
    <row r="78" spans="1:10" ht="29" x14ac:dyDescent="0.35">
      <c r="A78" s="8" t="s">
        <v>147</v>
      </c>
      <c r="B78" s="9" t="s">
        <v>7</v>
      </c>
      <c r="C78" s="9" t="s">
        <v>7</v>
      </c>
      <c r="D78" s="19" t="s">
        <v>6</v>
      </c>
      <c r="E78" s="40">
        <v>1</v>
      </c>
      <c r="F78" s="26" t="s">
        <v>309</v>
      </c>
      <c r="G78" s="56" t="s">
        <v>284</v>
      </c>
      <c r="H78" s="56" t="s">
        <v>154</v>
      </c>
      <c r="I78" s="53" t="s">
        <v>279</v>
      </c>
      <c r="J78" s="53" t="s">
        <v>206</v>
      </c>
    </row>
    <row r="79" spans="1:10" ht="43.5" x14ac:dyDescent="0.35">
      <c r="A79" s="8" t="s">
        <v>148</v>
      </c>
      <c r="B79" s="9" t="s">
        <v>7</v>
      </c>
      <c r="C79" s="9" t="s">
        <v>7</v>
      </c>
      <c r="D79" s="19" t="s">
        <v>6</v>
      </c>
      <c r="E79" s="40">
        <v>1</v>
      </c>
      <c r="F79" s="26" t="s">
        <v>310</v>
      </c>
      <c r="G79" s="56" t="s">
        <v>284</v>
      </c>
      <c r="H79" s="56" t="s">
        <v>154</v>
      </c>
      <c r="I79" s="53" t="s">
        <v>203</v>
      </c>
      <c r="J79" s="53" t="s">
        <v>283</v>
      </c>
    </row>
    <row r="80" spans="1:10" ht="29" x14ac:dyDescent="0.35">
      <c r="A80" s="8" t="s">
        <v>149</v>
      </c>
      <c r="B80" s="9" t="s">
        <v>7</v>
      </c>
      <c r="C80" s="9" t="s">
        <v>7</v>
      </c>
      <c r="D80" s="19" t="s">
        <v>6</v>
      </c>
      <c r="E80" s="40">
        <v>1</v>
      </c>
      <c r="F80" s="26" t="s">
        <v>311</v>
      </c>
      <c r="G80" s="56" t="s">
        <v>284</v>
      </c>
      <c r="H80" s="56" t="s">
        <v>154</v>
      </c>
      <c r="I80" s="53" t="s">
        <v>203</v>
      </c>
      <c r="J80" s="53" t="s">
        <v>207</v>
      </c>
    </row>
    <row r="81" spans="1:10" ht="29.5" thickBot="1" x14ac:dyDescent="0.4">
      <c r="A81" s="59" t="s">
        <v>150</v>
      </c>
      <c r="B81" s="60" t="s">
        <v>7</v>
      </c>
      <c r="C81" s="60" t="s">
        <v>7</v>
      </c>
      <c r="D81" s="61" t="s">
        <v>6</v>
      </c>
      <c r="E81" s="62">
        <v>1</v>
      </c>
      <c r="F81" s="26" t="s">
        <v>312</v>
      </c>
      <c r="G81" s="56" t="s">
        <v>284</v>
      </c>
      <c r="H81" s="56" t="s">
        <v>154</v>
      </c>
      <c r="I81" s="58" t="s">
        <v>279</v>
      </c>
      <c r="J81" s="58" t="s">
        <v>280</v>
      </c>
    </row>
  </sheetData>
  <sheetProtection algorithmName="SHA-512" hashValue="fj9epTm+quc708hAcHcSpcrkwOllRSTjkM80T4tDE9DTFsS/EXxeYZ1ecpDQH18PKNtip/Cyrig2PN7Zrd4Y/w==" saltValue="bBdUd7U+lkxAqMTDhr3eMQ==" spinCount="100000" sheet="1" objects="1" scenarios="1"/>
  <autoFilter ref="A1:H81" xr:uid="{7788E5A4-609E-413B-A56B-3CD4B6627FDC}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G8"/>
  <sheetViews>
    <sheetView zoomScale="90" zoomScaleNormal="90" workbookViewId="0">
      <selection activeCell="E4" sqref="E4"/>
    </sheetView>
  </sheetViews>
  <sheetFormatPr defaultRowHeight="14.5" x14ac:dyDescent="0.35"/>
  <cols>
    <col min="1" max="1" width="29.453125" customWidth="1"/>
    <col min="2" max="2" width="26.26953125" customWidth="1"/>
    <col min="3" max="3" width="33.54296875" customWidth="1"/>
    <col min="4" max="4" width="24.1796875" customWidth="1"/>
    <col min="5" max="5" width="42.81640625" customWidth="1"/>
    <col min="7" max="7" width="59" bestFit="1" customWidth="1"/>
  </cols>
  <sheetData>
    <row r="1" spans="1:7" ht="15" customHeight="1" x14ac:dyDescent="0.35">
      <c r="A1" s="28" t="s">
        <v>183</v>
      </c>
      <c r="B1" s="114" t="s">
        <v>190</v>
      </c>
      <c r="C1" t="s">
        <v>194</v>
      </c>
      <c r="D1" t="s">
        <v>153</v>
      </c>
      <c r="E1" s="119" t="s">
        <v>262</v>
      </c>
      <c r="F1" t="s">
        <v>184</v>
      </c>
      <c r="G1" s="116" t="s">
        <v>196</v>
      </c>
    </row>
    <row r="2" spans="1:7" ht="25" x14ac:dyDescent="0.35">
      <c r="A2" s="28" t="s">
        <v>169</v>
      </c>
      <c r="B2" s="115" t="s">
        <v>191</v>
      </c>
      <c r="C2" t="s">
        <v>195</v>
      </c>
      <c r="D2" t="s">
        <v>154</v>
      </c>
      <c r="E2" s="119" t="s">
        <v>263</v>
      </c>
      <c r="F2" t="s">
        <v>186</v>
      </c>
      <c r="G2" s="116" t="s">
        <v>254</v>
      </c>
    </row>
    <row r="3" spans="1:7" ht="25" x14ac:dyDescent="0.35">
      <c r="A3" s="28"/>
      <c r="B3" s="115" t="s">
        <v>192</v>
      </c>
      <c r="C3" t="s">
        <v>193</v>
      </c>
      <c r="D3" t="s">
        <v>287</v>
      </c>
      <c r="E3" s="119" t="s">
        <v>264</v>
      </c>
      <c r="F3" t="s">
        <v>187</v>
      </c>
      <c r="G3" s="116" t="s">
        <v>255</v>
      </c>
    </row>
    <row r="4" spans="1:7" x14ac:dyDescent="0.35">
      <c r="A4" s="28"/>
      <c r="B4" s="115" t="s">
        <v>250</v>
      </c>
      <c r="C4" t="s">
        <v>168</v>
      </c>
      <c r="E4" s="119" t="s">
        <v>376</v>
      </c>
      <c r="F4" s="45" t="s">
        <v>185</v>
      </c>
      <c r="G4" s="116" t="s">
        <v>318</v>
      </c>
    </row>
    <row r="5" spans="1:7" x14ac:dyDescent="0.35">
      <c r="A5" s="28"/>
      <c r="E5" s="119" t="s">
        <v>265</v>
      </c>
      <c r="F5" s="45" t="s">
        <v>188</v>
      </c>
    </row>
    <row r="6" spans="1:7" x14ac:dyDescent="0.35">
      <c r="A6" s="28"/>
      <c r="E6" s="119" t="s">
        <v>266</v>
      </c>
      <c r="F6" t="s">
        <v>189</v>
      </c>
    </row>
    <row r="7" spans="1:7" x14ac:dyDescent="0.35">
      <c r="A7" s="28"/>
    </row>
    <row r="8" spans="1:7" x14ac:dyDescent="0.35">
      <c r="A8" s="28"/>
    </row>
  </sheetData>
  <sheetProtection algorithmName="SHA-512" hashValue="3LIFRqxEX1rq1w6vTNO0cHtqIW9EVTiZj5h1jI75O0izHYPxguCnAC+CjVSTfXuUCMTtFhrzYrdBfClQCbpZUQ==" saltValue="1HqU5MXJfslvT+alRoEU3w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/>
  <dimension ref="A1:C31"/>
  <sheetViews>
    <sheetView workbookViewId="0">
      <selection sqref="A1:C17"/>
    </sheetView>
  </sheetViews>
  <sheetFormatPr defaultColWidth="17.81640625" defaultRowHeight="14.5" x14ac:dyDescent="0.35"/>
  <cols>
    <col min="1" max="1" width="8.26953125" customWidth="1"/>
    <col min="2" max="2" width="62.1796875" style="46" customWidth="1"/>
    <col min="3" max="3" width="19.453125" style="47" customWidth="1"/>
  </cols>
  <sheetData>
    <row r="1" spans="1:3" ht="43.5" x14ac:dyDescent="0.35">
      <c r="A1" s="63" t="s">
        <v>239</v>
      </c>
      <c r="B1" s="145" t="s">
        <v>300</v>
      </c>
      <c r="C1" s="64" t="s">
        <v>152</v>
      </c>
    </row>
    <row r="2" spans="1:3" x14ac:dyDescent="0.35">
      <c r="A2" s="65" t="s">
        <v>5</v>
      </c>
      <c r="B2" s="146" t="s">
        <v>366</v>
      </c>
      <c r="C2" s="66" t="s">
        <v>153</v>
      </c>
    </row>
    <row r="3" spans="1:3" x14ac:dyDescent="0.35">
      <c r="A3" s="65" t="s">
        <v>9</v>
      </c>
      <c r="B3" s="146" t="s">
        <v>369</v>
      </c>
      <c r="C3" s="66" t="s">
        <v>153</v>
      </c>
    </row>
    <row r="4" spans="1:3" ht="29" x14ac:dyDescent="0.35">
      <c r="A4" s="65" t="s">
        <v>11</v>
      </c>
      <c r="B4" s="146" t="s">
        <v>252</v>
      </c>
      <c r="C4" s="66" t="s">
        <v>153</v>
      </c>
    </row>
    <row r="5" spans="1:3" ht="29" x14ac:dyDescent="0.35">
      <c r="A5" s="65" t="s">
        <v>13</v>
      </c>
      <c r="B5" s="146" t="s">
        <v>289</v>
      </c>
      <c r="C5" s="66" t="s">
        <v>154</v>
      </c>
    </row>
    <row r="6" spans="1:3" x14ac:dyDescent="0.35">
      <c r="A6" s="65" t="s">
        <v>14</v>
      </c>
      <c r="B6" s="146" t="s">
        <v>251</v>
      </c>
      <c r="C6" s="66" t="s">
        <v>153</v>
      </c>
    </row>
    <row r="7" spans="1:3" ht="29" x14ac:dyDescent="0.35">
      <c r="A7" s="65" t="s">
        <v>31</v>
      </c>
      <c r="B7" s="146" t="s">
        <v>253</v>
      </c>
      <c r="C7" s="66" t="s">
        <v>153</v>
      </c>
    </row>
    <row r="8" spans="1:3" ht="29" x14ac:dyDescent="0.35">
      <c r="A8" s="65" t="s">
        <v>45</v>
      </c>
      <c r="B8" s="146" t="s">
        <v>197</v>
      </c>
      <c r="C8" s="66" t="s">
        <v>153</v>
      </c>
    </row>
    <row r="9" spans="1:3" x14ac:dyDescent="0.35">
      <c r="A9" s="65" t="s">
        <v>51</v>
      </c>
      <c r="B9" s="146" t="s">
        <v>256</v>
      </c>
      <c r="C9" s="66" t="s">
        <v>153</v>
      </c>
    </row>
    <row r="10" spans="1:3" ht="29" x14ac:dyDescent="0.35">
      <c r="A10" s="65" t="s">
        <v>57</v>
      </c>
      <c r="B10" s="146" t="s">
        <v>155</v>
      </c>
      <c r="C10" s="66" t="s">
        <v>153</v>
      </c>
    </row>
    <row r="11" spans="1:3" x14ac:dyDescent="0.35">
      <c r="A11" s="65" t="s">
        <v>59</v>
      </c>
      <c r="B11" s="146" t="s">
        <v>257</v>
      </c>
      <c r="C11" s="66" t="s">
        <v>153</v>
      </c>
    </row>
    <row r="12" spans="1:3" x14ac:dyDescent="0.35">
      <c r="A12" s="65" t="s">
        <v>61</v>
      </c>
      <c r="B12" s="146" t="s">
        <v>258</v>
      </c>
      <c r="C12" s="66" t="s">
        <v>153</v>
      </c>
    </row>
    <row r="13" spans="1:3" x14ac:dyDescent="0.35">
      <c r="A13" s="65" t="s">
        <v>63</v>
      </c>
      <c r="B13" s="146" t="s">
        <v>259</v>
      </c>
      <c r="C13" s="66" t="s">
        <v>153</v>
      </c>
    </row>
    <row r="14" spans="1:3" x14ac:dyDescent="0.35">
      <c r="A14" s="65" t="s">
        <v>111</v>
      </c>
      <c r="B14" s="146" t="s">
        <v>267</v>
      </c>
      <c r="C14" s="66" t="s">
        <v>153</v>
      </c>
    </row>
    <row r="15" spans="1:3" x14ac:dyDescent="0.35">
      <c r="A15" s="65" t="s">
        <v>113</v>
      </c>
      <c r="B15" s="146" t="s">
        <v>268</v>
      </c>
      <c r="C15" s="66" t="s">
        <v>153</v>
      </c>
    </row>
    <row r="16" spans="1:3" x14ac:dyDescent="0.35">
      <c r="A16" s="65" t="s">
        <v>115</v>
      </c>
      <c r="B16" s="146" t="s">
        <v>269</v>
      </c>
      <c r="C16" s="66" t="s">
        <v>153</v>
      </c>
    </row>
    <row r="17" spans="1:3" ht="15" thickBot="1" x14ac:dyDescent="0.4">
      <c r="A17" s="67" t="s">
        <v>133</v>
      </c>
      <c r="B17" s="147" t="s">
        <v>261</v>
      </c>
      <c r="C17" s="68" t="s">
        <v>153</v>
      </c>
    </row>
    <row r="18" spans="1:3" x14ac:dyDescent="0.35">
      <c r="B18"/>
      <c r="C18"/>
    </row>
    <row r="19" spans="1:3" x14ac:dyDescent="0.35">
      <c r="B19"/>
      <c r="C19"/>
    </row>
    <row r="20" spans="1:3" x14ac:dyDescent="0.35">
      <c r="B20"/>
      <c r="C20"/>
    </row>
    <row r="21" spans="1:3" x14ac:dyDescent="0.35">
      <c r="B21"/>
      <c r="C21"/>
    </row>
    <row r="22" spans="1:3" x14ac:dyDescent="0.35">
      <c r="B22"/>
      <c r="C22"/>
    </row>
    <row r="23" spans="1:3" x14ac:dyDescent="0.35">
      <c r="B23"/>
      <c r="C23"/>
    </row>
    <row r="24" spans="1:3" x14ac:dyDescent="0.35">
      <c r="B24"/>
      <c r="C24"/>
    </row>
    <row r="25" spans="1:3" x14ac:dyDescent="0.35">
      <c r="B25"/>
      <c r="C25"/>
    </row>
    <row r="26" spans="1:3" x14ac:dyDescent="0.35">
      <c r="B26"/>
      <c r="C26"/>
    </row>
    <row r="27" spans="1:3" x14ac:dyDescent="0.35">
      <c r="B27"/>
      <c r="C27"/>
    </row>
    <row r="28" spans="1:3" x14ac:dyDescent="0.35">
      <c r="B28"/>
      <c r="C28"/>
    </row>
    <row r="29" spans="1:3" x14ac:dyDescent="0.35">
      <c r="B29"/>
      <c r="C29"/>
    </row>
    <row r="30" spans="1:3" x14ac:dyDescent="0.35">
      <c r="B30"/>
      <c r="C30"/>
    </row>
    <row r="31" spans="1:3" x14ac:dyDescent="0.35">
      <c r="B31"/>
      <c r="C31"/>
    </row>
  </sheetData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6"/>
  <dimension ref="A1:E2"/>
  <sheetViews>
    <sheetView workbookViewId="0">
      <selection activeCell="A2" sqref="A2:E2"/>
    </sheetView>
  </sheetViews>
  <sheetFormatPr defaultRowHeight="14.5" x14ac:dyDescent="0.35"/>
  <sheetData>
    <row r="1" spans="1:5" ht="40.5" thickBot="1" x14ac:dyDescent="0.4">
      <c r="A1" s="3" t="s">
        <v>156</v>
      </c>
      <c r="B1" s="3" t="s">
        <v>157</v>
      </c>
      <c r="C1" s="3" t="s">
        <v>166</v>
      </c>
      <c r="D1" s="3" t="s">
        <v>167</v>
      </c>
    </row>
    <row r="2" spans="1:5" x14ac:dyDescent="0.35">
      <c r="A2" s="148">
        <v>9999</v>
      </c>
      <c r="B2" s="144" t="s">
        <v>286</v>
      </c>
      <c r="C2" s="122" t="b">
        <v>1</v>
      </c>
      <c r="D2" s="122" t="b">
        <v>1</v>
      </c>
      <c r="E2" s="152" t="s">
        <v>298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5"/>
  <dimension ref="A1:L69"/>
  <sheetViews>
    <sheetView zoomScale="90" zoomScaleNormal="90" workbookViewId="0">
      <selection activeCell="A3" sqref="A3:L69"/>
    </sheetView>
  </sheetViews>
  <sheetFormatPr defaultColWidth="9.1796875" defaultRowHeight="14.5" x14ac:dyDescent="0.35"/>
  <cols>
    <col min="1" max="1" width="7.7265625" style="37" customWidth="1"/>
    <col min="2" max="2" width="5.81640625" customWidth="1"/>
    <col min="3" max="3" width="9.7265625" customWidth="1"/>
    <col min="4" max="4" width="69.26953125" customWidth="1"/>
    <col min="5" max="6" width="6" customWidth="1"/>
    <col min="7" max="7" width="8.453125" customWidth="1"/>
    <col min="8" max="8" width="11.1796875" bestFit="1" customWidth="1"/>
    <col min="9" max="9" width="4.453125" customWidth="1"/>
    <col min="10" max="11" width="4.7265625" customWidth="1"/>
    <col min="12" max="12" width="47.453125" bestFit="1" customWidth="1"/>
  </cols>
  <sheetData>
    <row r="1" spans="1:12" ht="24.75" customHeight="1" x14ac:dyDescent="0.35">
      <c r="A1" s="29" t="s">
        <v>0</v>
      </c>
      <c r="B1" s="30" t="s">
        <v>156</v>
      </c>
      <c r="C1" s="30" t="s">
        <v>157</v>
      </c>
      <c r="D1" s="31" t="s">
        <v>4</v>
      </c>
      <c r="E1" s="32" t="s">
        <v>158</v>
      </c>
      <c r="F1" s="32" t="s">
        <v>159</v>
      </c>
      <c r="G1" s="32" t="s">
        <v>160</v>
      </c>
      <c r="H1" s="32" t="s">
        <v>161</v>
      </c>
      <c r="I1" s="32" t="s">
        <v>162</v>
      </c>
      <c r="J1" s="32" t="s">
        <v>163</v>
      </c>
      <c r="K1" s="32" t="s">
        <v>164</v>
      </c>
    </row>
    <row r="2" spans="1:12" ht="15" thickBot="1" x14ac:dyDescent="0.4">
      <c r="A2" s="33"/>
      <c r="B2" s="34"/>
      <c r="C2" s="34"/>
      <c r="D2" s="35"/>
      <c r="E2" s="36"/>
      <c r="F2" s="36"/>
      <c r="G2" s="36"/>
      <c r="H2" s="36"/>
      <c r="I2" s="36"/>
      <c r="J2" s="36"/>
      <c r="K2" s="36"/>
    </row>
    <row r="3" spans="1:12" x14ac:dyDescent="0.35">
      <c r="A3" s="121" t="s">
        <v>16</v>
      </c>
      <c r="B3" s="148">
        <v>9999</v>
      </c>
      <c r="C3" s="144" t="s">
        <v>286</v>
      </c>
      <c r="D3" s="14" t="s">
        <v>17</v>
      </c>
      <c r="E3" s="123" t="s">
        <v>165</v>
      </c>
      <c r="F3" s="123"/>
      <c r="G3" s="170"/>
      <c r="H3" s="170"/>
      <c r="I3" s="170"/>
      <c r="J3" s="170"/>
      <c r="K3" s="170"/>
      <c r="L3" s="158"/>
    </row>
    <row r="4" spans="1:12" x14ac:dyDescent="0.35">
      <c r="A4" s="121" t="s">
        <v>18</v>
      </c>
      <c r="B4" s="122">
        <v>9999</v>
      </c>
      <c r="C4" s="144" t="s">
        <v>286</v>
      </c>
      <c r="D4" s="15" t="s">
        <v>324</v>
      </c>
      <c r="E4" s="123" t="s">
        <v>165</v>
      </c>
      <c r="F4" s="123"/>
      <c r="G4" s="170"/>
      <c r="H4" s="170"/>
      <c r="I4" s="170"/>
      <c r="J4" s="170"/>
      <c r="K4" s="170"/>
      <c r="L4" s="158"/>
    </row>
    <row r="5" spans="1:12" x14ac:dyDescent="0.35">
      <c r="A5" s="121" t="s">
        <v>19</v>
      </c>
      <c r="B5" s="122">
        <v>9999</v>
      </c>
      <c r="C5" s="144" t="s">
        <v>286</v>
      </c>
      <c r="D5" s="14" t="s">
        <v>20</v>
      </c>
      <c r="E5" s="123" t="s">
        <v>165</v>
      </c>
      <c r="F5" s="123"/>
      <c r="G5" s="170"/>
      <c r="H5" s="170"/>
      <c r="I5" s="170"/>
      <c r="J5" s="170"/>
      <c r="K5" s="170"/>
      <c r="L5" s="158"/>
    </row>
    <row r="6" spans="1:12" x14ac:dyDescent="0.35">
      <c r="A6" s="121" t="s">
        <v>21</v>
      </c>
      <c r="B6" s="122">
        <v>9999</v>
      </c>
      <c r="C6" s="144" t="s">
        <v>286</v>
      </c>
      <c r="D6" s="166" t="s">
        <v>325</v>
      </c>
      <c r="E6" s="123" t="s">
        <v>165</v>
      </c>
      <c r="F6" s="123"/>
      <c r="G6" s="170"/>
      <c r="H6" s="170"/>
      <c r="I6" s="170"/>
      <c r="J6" s="170"/>
      <c r="K6" s="170"/>
      <c r="L6" s="158"/>
    </row>
    <row r="7" spans="1:12" x14ac:dyDescent="0.35">
      <c r="A7" s="121" t="s">
        <v>22</v>
      </c>
      <c r="B7" s="122">
        <v>9999</v>
      </c>
      <c r="C7" s="144" t="s">
        <v>286</v>
      </c>
      <c r="D7" s="14" t="s">
        <v>23</v>
      </c>
      <c r="E7" s="123" t="s">
        <v>165</v>
      </c>
      <c r="F7" s="123"/>
      <c r="G7" s="170"/>
      <c r="H7" s="170"/>
      <c r="I7" s="170"/>
      <c r="J7" s="170"/>
      <c r="K7" s="170"/>
      <c r="L7" s="158"/>
    </row>
    <row r="8" spans="1:12" x14ac:dyDescent="0.35">
      <c r="A8" s="121" t="s">
        <v>24</v>
      </c>
      <c r="B8" s="122">
        <v>9999</v>
      </c>
      <c r="C8" s="144" t="s">
        <v>286</v>
      </c>
      <c r="D8" s="15" t="s">
        <v>326</v>
      </c>
      <c r="E8" s="123" t="s">
        <v>165</v>
      </c>
      <c r="F8" s="123"/>
      <c r="G8" s="170"/>
      <c r="H8" s="170"/>
      <c r="I8" s="170"/>
      <c r="J8" s="170"/>
      <c r="K8" s="170"/>
      <c r="L8" s="158"/>
    </row>
    <row r="9" spans="1:12" x14ac:dyDescent="0.35">
      <c r="A9" s="121" t="s">
        <v>25</v>
      </c>
      <c r="B9" s="122">
        <v>9999</v>
      </c>
      <c r="C9" s="144" t="s">
        <v>286</v>
      </c>
      <c r="D9" s="16" t="s">
        <v>26</v>
      </c>
      <c r="E9" s="123" t="s">
        <v>165</v>
      </c>
      <c r="F9" s="123"/>
      <c r="G9" s="170"/>
      <c r="H9" s="170"/>
      <c r="I9" s="170"/>
      <c r="J9" s="170"/>
      <c r="K9" s="170"/>
      <c r="L9" s="158"/>
    </row>
    <row r="10" spans="1:12" x14ac:dyDescent="0.35">
      <c r="A10" s="121" t="s">
        <v>27</v>
      </c>
      <c r="B10" s="122">
        <v>9999</v>
      </c>
      <c r="C10" s="144" t="s">
        <v>286</v>
      </c>
      <c r="D10" s="160" t="s">
        <v>327</v>
      </c>
      <c r="E10" s="123" t="s">
        <v>165</v>
      </c>
      <c r="F10" s="123"/>
      <c r="G10" s="170"/>
      <c r="H10" s="170"/>
      <c r="I10" s="170"/>
      <c r="J10" s="170"/>
      <c r="K10" s="170"/>
      <c r="L10" s="158"/>
    </row>
    <row r="11" spans="1:12" x14ac:dyDescent="0.35">
      <c r="A11" s="121" t="s">
        <v>28</v>
      </c>
      <c r="B11" s="122">
        <v>9999</v>
      </c>
      <c r="C11" s="144" t="s">
        <v>286</v>
      </c>
      <c r="D11" s="161" t="s">
        <v>29</v>
      </c>
      <c r="E11" s="123" t="s">
        <v>165</v>
      </c>
      <c r="F11" s="123"/>
      <c r="G11" s="170"/>
      <c r="H11" s="170"/>
      <c r="I11" s="170"/>
      <c r="J11" s="170"/>
      <c r="K11" s="170"/>
      <c r="L11" s="158"/>
    </row>
    <row r="12" spans="1:12" x14ac:dyDescent="0.35">
      <c r="A12" s="121" t="s">
        <v>30</v>
      </c>
      <c r="B12" s="122">
        <v>9999</v>
      </c>
      <c r="C12" s="144" t="s">
        <v>286</v>
      </c>
      <c r="D12" s="17" t="s">
        <v>328</v>
      </c>
      <c r="E12" s="123" t="s">
        <v>165</v>
      </c>
      <c r="F12" s="123"/>
      <c r="G12" s="170"/>
      <c r="H12" s="170"/>
      <c r="I12" s="170"/>
      <c r="J12" s="170"/>
      <c r="K12" s="170"/>
      <c r="L12" s="158"/>
    </row>
    <row r="13" spans="1:12" x14ac:dyDescent="0.35">
      <c r="A13" s="121" t="s">
        <v>33</v>
      </c>
      <c r="B13" s="122">
        <v>9999</v>
      </c>
      <c r="C13" s="144" t="s">
        <v>286</v>
      </c>
      <c r="D13" s="124" t="s">
        <v>329</v>
      </c>
      <c r="E13" s="123" t="s">
        <v>165</v>
      </c>
      <c r="F13" s="125"/>
      <c r="G13" s="170"/>
      <c r="H13" s="170"/>
      <c r="I13" s="170"/>
      <c r="J13" s="170"/>
      <c r="K13" s="170"/>
      <c r="L13" s="158"/>
    </row>
    <row r="14" spans="1:12" x14ac:dyDescent="0.35">
      <c r="A14" s="121" t="s">
        <v>35</v>
      </c>
      <c r="B14" s="122">
        <v>9999</v>
      </c>
      <c r="C14" s="144" t="s">
        <v>286</v>
      </c>
      <c r="D14" s="124" t="s">
        <v>330</v>
      </c>
      <c r="E14" s="123" t="s">
        <v>165</v>
      </c>
      <c r="F14" s="125"/>
      <c r="G14" s="170"/>
      <c r="H14" s="170"/>
      <c r="I14" s="170"/>
      <c r="J14" s="170"/>
      <c r="K14" s="170"/>
      <c r="L14" s="158"/>
    </row>
    <row r="15" spans="1:12" x14ac:dyDescent="0.35">
      <c r="A15" s="121" t="s">
        <v>37</v>
      </c>
      <c r="B15" s="122">
        <v>9999</v>
      </c>
      <c r="C15" s="144" t="s">
        <v>286</v>
      </c>
      <c r="D15" s="126" t="s">
        <v>331</v>
      </c>
      <c r="E15" s="123" t="s">
        <v>165</v>
      </c>
      <c r="F15" s="125"/>
      <c r="G15" s="170"/>
      <c r="H15" s="170"/>
      <c r="I15" s="170"/>
      <c r="J15" s="170"/>
      <c r="K15" s="170"/>
      <c r="L15" s="158"/>
    </row>
    <row r="16" spans="1:12" x14ac:dyDescent="0.35">
      <c r="A16" s="121" t="s">
        <v>39</v>
      </c>
      <c r="B16" s="122">
        <v>9999</v>
      </c>
      <c r="C16" s="144" t="s">
        <v>286</v>
      </c>
      <c r="D16" s="124" t="s">
        <v>332</v>
      </c>
      <c r="E16" s="123" t="s">
        <v>165</v>
      </c>
      <c r="F16" s="125"/>
      <c r="G16" s="170"/>
      <c r="H16" s="170"/>
      <c r="I16" s="170"/>
      <c r="J16" s="170"/>
      <c r="K16" s="170"/>
      <c r="L16" s="158"/>
    </row>
    <row r="17" spans="1:12" x14ac:dyDescent="0.35">
      <c r="A17" s="121" t="s">
        <v>41</v>
      </c>
      <c r="B17" s="122">
        <v>9999</v>
      </c>
      <c r="C17" s="144" t="s">
        <v>286</v>
      </c>
      <c r="D17" s="124" t="s">
        <v>333</v>
      </c>
      <c r="E17" s="123" t="s">
        <v>165</v>
      </c>
      <c r="F17" s="125"/>
      <c r="G17" s="170"/>
      <c r="H17" s="170"/>
      <c r="I17" s="170"/>
      <c r="J17" s="170"/>
      <c r="K17" s="170"/>
      <c r="L17" s="158"/>
    </row>
    <row r="18" spans="1:12" x14ac:dyDescent="0.35">
      <c r="A18" s="121" t="s">
        <v>43</v>
      </c>
      <c r="B18" s="122">
        <v>9999</v>
      </c>
      <c r="C18" s="144" t="s">
        <v>286</v>
      </c>
      <c r="D18" s="124" t="s">
        <v>334</v>
      </c>
      <c r="E18" s="123" t="s">
        <v>165</v>
      </c>
      <c r="F18" s="125"/>
      <c r="G18" s="170"/>
      <c r="H18" s="170"/>
      <c r="I18" s="170"/>
      <c r="J18" s="170"/>
      <c r="K18" s="170"/>
      <c r="L18" s="158"/>
    </row>
    <row r="19" spans="1:12" x14ac:dyDescent="0.35">
      <c r="A19" s="121" t="s">
        <v>47</v>
      </c>
      <c r="B19" s="122">
        <v>9999</v>
      </c>
      <c r="C19" s="144" t="s">
        <v>286</v>
      </c>
      <c r="D19" s="167" t="s">
        <v>335</v>
      </c>
      <c r="E19" s="123" t="s">
        <v>165</v>
      </c>
      <c r="F19" s="123"/>
      <c r="G19" s="170"/>
      <c r="H19" s="170"/>
      <c r="I19" s="170"/>
      <c r="J19" s="170"/>
      <c r="K19" s="170"/>
      <c r="L19" s="158"/>
    </row>
    <row r="20" spans="1:12" x14ac:dyDescent="0.35">
      <c r="A20" s="121" t="s">
        <v>49</v>
      </c>
      <c r="B20" s="122">
        <v>9999</v>
      </c>
      <c r="C20" s="144" t="s">
        <v>286</v>
      </c>
      <c r="D20" s="128" t="s">
        <v>336</v>
      </c>
      <c r="E20" s="123" t="s">
        <v>165</v>
      </c>
      <c r="F20" s="123"/>
      <c r="G20" s="170"/>
      <c r="H20" s="170"/>
      <c r="I20" s="170"/>
      <c r="J20" s="170"/>
      <c r="K20" s="170"/>
      <c r="L20" s="158"/>
    </row>
    <row r="21" spans="1:12" x14ac:dyDescent="0.35">
      <c r="A21" s="121" t="s">
        <v>53</v>
      </c>
      <c r="B21" s="122">
        <v>9999</v>
      </c>
      <c r="C21" s="144" t="s">
        <v>286</v>
      </c>
      <c r="D21" s="168" t="s">
        <v>337</v>
      </c>
      <c r="E21" s="123" t="s">
        <v>165</v>
      </c>
      <c r="F21" s="123"/>
      <c r="G21" s="170"/>
      <c r="H21" s="170"/>
      <c r="I21" s="170"/>
      <c r="J21" s="170"/>
      <c r="K21" s="170"/>
      <c r="L21" s="158"/>
    </row>
    <row r="22" spans="1:12" x14ac:dyDescent="0.35">
      <c r="A22" s="121" t="s">
        <v>55</v>
      </c>
      <c r="B22" s="122">
        <v>9999</v>
      </c>
      <c r="C22" s="144" t="s">
        <v>286</v>
      </c>
      <c r="D22" s="130" t="s">
        <v>338</v>
      </c>
      <c r="E22" s="123" t="s">
        <v>165</v>
      </c>
      <c r="F22" s="123"/>
      <c r="G22" s="170"/>
      <c r="H22" s="170"/>
      <c r="I22" s="170"/>
      <c r="J22" s="170"/>
      <c r="K22" s="170"/>
      <c r="L22" s="158"/>
    </row>
    <row r="23" spans="1:12" x14ac:dyDescent="0.35">
      <c r="A23" s="121" t="s">
        <v>65</v>
      </c>
      <c r="B23" s="122">
        <v>9999</v>
      </c>
      <c r="C23" s="144" t="s">
        <v>286</v>
      </c>
      <c r="D23" s="131" t="s">
        <v>339</v>
      </c>
      <c r="E23" s="123" t="s">
        <v>165</v>
      </c>
      <c r="F23" s="123"/>
      <c r="G23" s="170"/>
      <c r="H23" s="170"/>
      <c r="I23" s="170"/>
      <c r="J23" s="170"/>
      <c r="K23" s="170"/>
      <c r="L23" s="158"/>
    </row>
    <row r="24" spans="1:12" x14ac:dyDescent="0.35">
      <c r="A24" s="121" t="s">
        <v>67</v>
      </c>
      <c r="B24" s="122">
        <v>9999</v>
      </c>
      <c r="C24" s="144" t="s">
        <v>286</v>
      </c>
      <c r="D24" s="132" t="s">
        <v>340</v>
      </c>
      <c r="E24" s="123" t="s">
        <v>165</v>
      </c>
      <c r="F24" s="123"/>
      <c r="G24" s="170"/>
      <c r="H24" s="170"/>
      <c r="I24" s="170"/>
      <c r="J24" s="170"/>
      <c r="K24" s="170"/>
      <c r="L24" s="158"/>
    </row>
    <row r="25" spans="1:12" x14ac:dyDescent="0.35">
      <c r="A25" s="121" t="s">
        <v>69</v>
      </c>
      <c r="B25" s="122">
        <v>9999</v>
      </c>
      <c r="C25" s="144" t="s">
        <v>286</v>
      </c>
      <c r="D25" s="133" t="s">
        <v>341</v>
      </c>
      <c r="E25" s="123" t="s">
        <v>165</v>
      </c>
      <c r="F25" s="123"/>
      <c r="G25" s="170"/>
      <c r="H25" s="170"/>
      <c r="I25" s="170"/>
      <c r="J25" s="170"/>
      <c r="K25" s="170"/>
      <c r="L25" s="158"/>
    </row>
    <row r="26" spans="1:12" x14ac:dyDescent="0.35">
      <c r="A26" s="121" t="s">
        <v>71</v>
      </c>
      <c r="B26" s="122">
        <v>9999</v>
      </c>
      <c r="C26" s="144" t="s">
        <v>286</v>
      </c>
      <c r="D26" s="134" t="s">
        <v>342</v>
      </c>
      <c r="E26" s="123" t="s">
        <v>165</v>
      </c>
      <c r="F26" s="123"/>
      <c r="G26" s="170"/>
      <c r="H26" s="170"/>
      <c r="I26" s="170"/>
      <c r="J26" s="170"/>
      <c r="K26" s="170"/>
      <c r="L26" s="158"/>
    </row>
    <row r="27" spans="1:12" x14ac:dyDescent="0.35">
      <c r="A27" s="121" t="s">
        <v>73</v>
      </c>
      <c r="B27" s="122">
        <v>9999</v>
      </c>
      <c r="C27" s="144" t="s">
        <v>286</v>
      </c>
      <c r="D27" s="135" t="s">
        <v>343</v>
      </c>
      <c r="E27" s="123" t="s">
        <v>165</v>
      </c>
      <c r="F27" s="123"/>
      <c r="G27" s="170"/>
      <c r="H27" s="170"/>
      <c r="I27" s="170"/>
      <c r="J27" s="170"/>
      <c r="K27" s="170"/>
      <c r="L27" s="158"/>
    </row>
    <row r="28" spans="1:12" x14ac:dyDescent="0.35">
      <c r="A28" s="121" t="s">
        <v>75</v>
      </c>
      <c r="B28" s="122">
        <v>9999</v>
      </c>
      <c r="C28" s="144" t="s">
        <v>286</v>
      </c>
      <c r="D28" s="135" t="s">
        <v>344</v>
      </c>
      <c r="E28" s="123" t="s">
        <v>165</v>
      </c>
      <c r="F28" s="123"/>
      <c r="G28" s="170"/>
      <c r="H28" s="170"/>
      <c r="I28" s="170"/>
      <c r="J28" s="170"/>
      <c r="K28" s="170"/>
      <c r="L28" s="158"/>
    </row>
    <row r="29" spans="1:12" x14ac:dyDescent="0.35">
      <c r="A29" s="121" t="s">
        <v>77</v>
      </c>
      <c r="B29" s="122">
        <v>9999</v>
      </c>
      <c r="C29" s="144" t="s">
        <v>286</v>
      </c>
      <c r="D29" s="135" t="s">
        <v>345</v>
      </c>
      <c r="E29" s="123" t="s">
        <v>165</v>
      </c>
      <c r="F29" s="123"/>
      <c r="G29" s="170"/>
      <c r="H29" s="170"/>
      <c r="I29" s="170"/>
      <c r="J29" s="170"/>
      <c r="K29" s="170"/>
      <c r="L29" s="158"/>
    </row>
    <row r="30" spans="1:12" x14ac:dyDescent="0.35">
      <c r="A30" s="121" t="s">
        <v>79</v>
      </c>
      <c r="B30" s="122">
        <v>9999</v>
      </c>
      <c r="C30" s="144" t="s">
        <v>286</v>
      </c>
      <c r="D30" s="135" t="s">
        <v>346</v>
      </c>
      <c r="E30" s="123" t="s">
        <v>165</v>
      </c>
      <c r="F30" s="123"/>
      <c r="G30" s="170"/>
      <c r="H30" s="170"/>
      <c r="I30" s="170"/>
      <c r="J30" s="170"/>
      <c r="K30" s="170"/>
      <c r="L30" s="158"/>
    </row>
    <row r="31" spans="1:12" x14ac:dyDescent="0.35">
      <c r="A31" s="121" t="s">
        <v>81</v>
      </c>
      <c r="B31" s="122">
        <v>9999</v>
      </c>
      <c r="C31" s="144" t="s">
        <v>286</v>
      </c>
      <c r="D31" s="135" t="s">
        <v>347</v>
      </c>
      <c r="E31" s="123" t="s">
        <v>165</v>
      </c>
      <c r="F31" s="123"/>
      <c r="G31" s="170"/>
      <c r="H31" s="170"/>
      <c r="I31" s="170"/>
      <c r="J31" s="170"/>
      <c r="K31" s="170"/>
      <c r="L31" s="158"/>
    </row>
    <row r="32" spans="1:12" x14ac:dyDescent="0.35">
      <c r="A32" s="121" t="s">
        <v>83</v>
      </c>
      <c r="B32" s="122">
        <v>9999</v>
      </c>
      <c r="C32" s="144" t="s">
        <v>286</v>
      </c>
      <c r="D32" s="135" t="s">
        <v>348</v>
      </c>
      <c r="E32" s="123" t="s">
        <v>165</v>
      </c>
      <c r="F32" s="123"/>
      <c r="G32" s="170"/>
      <c r="H32" s="170"/>
      <c r="I32" s="170"/>
      <c r="J32" s="170"/>
      <c r="K32" s="170"/>
      <c r="L32" s="158"/>
    </row>
    <row r="33" spans="1:12" x14ac:dyDescent="0.35">
      <c r="A33" s="121" t="s">
        <v>85</v>
      </c>
      <c r="B33" s="122">
        <v>9999</v>
      </c>
      <c r="C33" s="144" t="s">
        <v>286</v>
      </c>
      <c r="D33" s="135" t="s">
        <v>349</v>
      </c>
      <c r="E33" s="123" t="s">
        <v>165</v>
      </c>
      <c r="F33" s="123"/>
      <c r="G33" s="170"/>
      <c r="H33" s="170"/>
      <c r="I33" s="170"/>
      <c r="J33" s="170"/>
      <c r="K33" s="170"/>
      <c r="L33" s="158"/>
    </row>
    <row r="34" spans="1:12" x14ac:dyDescent="0.35">
      <c r="A34" s="121" t="s">
        <v>87</v>
      </c>
      <c r="B34" s="122">
        <v>9999</v>
      </c>
      <c r="C34" s="144" t="s">
        <v>286</v>
      </c>
      <c r="D34" s="135" t="s">
        <v>350</v>
      </c>
      <c r="E34" s="123" t="s">
        <v>165</v>
      </c>
      <c r="F34" s="123"/>
      <c r="G34" s="170"/>
      <c r="H34" s="170"/>
      <c r="I34" s="170"/>
      <c r="J34" s="170"/>
      <c r="K34" s="170"/>
      <c r="L34" s="158"/>
    </row>
    <row r="35" spans="1:12" x14ac:dyDescent="0.35">
      <c r="A35" s="121" t="s">
        <v>89</v>
      </c>
      <c r="B35" s="122">
        <v>9999</v>
      </c>
      <c r="C35" s="144" t="s">
        <v>286</v>
      </c>
      <c r="D35" s="135" t="s">
        <v>351</v>
      </c>
      <c r="E35" s="123" t="s">
        <v>165</v>
      </c>
      <c r="F35" s="123"/>
      <c r="G35" s="170"/>
      <c r="H35" s="170"/>
      <c r="I35" s="170"/>
      <c r="J35" s="170"/>
      <c r="K35" s="170"/>
      <c r="L35" s="158"/>
    </row>
    <row r="36" spans="1:12" x14ac:dyDescent="0.35">
      <c r="A36" s="121" t="s">
        <v>91</v>
      </c>
      <c r="B36" s="122">
        <v>9999</v>
      </c>
      <c r="C36" s="144" t="s">
        <v>286</v>
      </c>
      <c r="D36" s="135" t="s">
        <v>352</v>
      </c>
      <c r="E36" s="123" t="s">
        <v>165</v>
      </c>
      <c r="F36" s="123"/>
      <c r="G36" s="170"/>
      <c r="H36" s="170"/>
      <c r="I36" s="170"/>
      <c r="J36" s="170"/>
      <c r="K36" s="170"/>
      <c r="L36" s="158"/>
    </row>
    <row r="37" spans="1:12" x14ac:dyDescent="0.35">
      <c r="A37" s="121" t="s">
        <v>93</v>
      </c>
      <c r="B37" s="122">
        <v>9999</v>
      </c>
      <c r="C37" s="144" t="s">
        <v>286</v>
      </c>
      <c r="D37" s="135" t="s">
        <v>353</v>
      </c>
      <c r="E37" s="123" t="s">
        <v>165</v>
      </c>
      <c r="F37" s="123"/>
      <c r="G37" s="170"/>
      <c r="H37" s="170"/>
      <c r="I37" s="170"/>
      <c r="J37" s="170"/>
      <c r="K37" s="170"/>
      <c r="L37" s="158"/>
    </row>
    <row r="38" spans="1:12" x14ac:dyDescent="0.35">
      <c r="A38" s="121" t="s">
        <v>95</v>
      </c>
      <c r="B38" s="122">
        <v>9999</v>
      </c>
      <c r="C38" s="144" t="s">
        <v>286</v>
      </c>
      <c r="D38" s="135" t="s">
        <v>354</v>
      </c>
      <c r="E38" s="123" t="s">
        <v>165</v>
      </c>
      <c r="F38" s="123"/>
      <c r="G38" s="170"/>
      <c r="H38" s="170"/>
      <c r="I38" s="170"/>
      <c r="J38" s="170"/>
      <c r="K38" s="170"/>
      <c r="L38" s="158"/>
    </row>
    <row r="39" spans="1:12" x14ac:dyDescent="0.35">
      <c r="A39" s="121" t="s">
        <v>97</v>
      </c>
      <c r="B39" s="122">
        <v>9999</v>
      </c>
      <c r="C39" s="144" t="s">
        <v>286</v>
      </c>
      <c r="D39" s="135" t="s">
        <v>355</v>
      </c>
      <c r="E39" s="123" t="s">
        <v>165</v>
      </c>
      <c r="F39" s="123"/>
      <c r="G39" s="170"/>
      <c r="H39" s="170"/>
      <c r="I39" s="170"/>
      <c r="J39" s="170"/>
      <c r="K39" s="170"/>
      <c r="L39" s="159"/>
    </row>
    <row r="40" spans="1:12" x14ac:dyDescent="0.35">
      <c r="A40" s="121" t="s">
        <v>99</v>
      </c>
      <c r="B40" s="122">
        <v>9999</v>
      </c>
      <c r="C40" s="144" t="s">
        <v>286</v>
      </c>
      <c r="D40" s="135" t="s">
        <v>356</v>
      </c>
      <c r="E40" s="123" t="s">
        <v>165</v>
      </c>
      <c r="F40" s="123"/>
      <c r="G40" s="170"/>
      <c r="H40" s="170"/>
      <c r="I40" s="170"/>
      <c r="J40" s="170"/>
      <c r="K40" s="170"/>
      <c r="L40" s="159"/>
    </row>
    <row r="41" spans="1:12" x14ac:dyDescent="0.35">
      <c r="A41" s="121" t="s">
        <v>101</v>
      </c>
      <c r="B41" s="122">
        <v>9999</v>
      </c>
      <c r="C41" s="144" t="s">
        <v>286</v>
      </c>
      <c r="D41" s="135" t="s">
        <v>357</v>
      </c>
      <c r="E41" s="123" t="s">
        <v>165</v>
      </c>
      <c r="F41" s="123"/>
      <c r="G41" s="170"/>
      <c r="H41" s="170"/>
      <c r="I41" s="170"/>
      <c r="J41" s="170"/>
      <c r="K41" s="170"/>
      <c r="L41" s="158"/>
    </row>
    <row r="42" spans="1:12" x14ac:dyDescent="0.35">
      <c r="A42" s="121" t="s">
        <v>103</v>
      </c>
      <c r="B42" s="122">
        <v>9999</v>
      </c>
      <c r="C42" s="144" t="s">
        <v>286</v>
      </c>
      <c r="D42" s="135" t="s">
        <v>358</v>
      </c>
      <c r="E42" s="123" t="s">
        <v>165</v>
      </c>
      <c r="F42" s="123"/>
      <c r="G42" s="170"/>
      <c r="H42" s="170"/>
      <c r="I42" s="170"/>
      <c r="J42" s="170"/>
      <c r="K42" s="170"/>
      <c r="L42" s="158"/>
    </row>
    <row r="43" spans="1:12" x14ac:dyDescent="0.35">
      <c r="A43" s="121" t="s">
        <v>105</v>
      </c>
      <c r="B43" s="122">
        <v>9999</v>
      </c>
      <c r="C43" s="144" t="s">
        <v>286</v>
      </c>
      <c r="D43" s="134" t="s">
        <v>359</v>
      </c>
      <c r="E43" s="123" t="s">
        <v>165</v>
      </c>
      <c r="F43" s="123"/>
      <c r="G43" s="170"/>
      <c r="H43" s="170"/>
      <c r="I43" s="170"/>
      <c r="J43" s="170"/>
      <c r="K43" s="170"/>
      <c r="L43" s="158"/>
    </row>
    <row r="44" spans="1:12" x14ac:dyDescent="0.35">
      <c r="A44" s="121" t="s">
        <v>107</v>
      </c>
      <c r="B44" s="122">
        <v>9999</v>
      </c>
      <c r="C44" s="144" t="s">
        <v>286</v>
      </c>
      <c r="D44" s="134" t="s">
        <v>360</v>
      </c>
      <c r="E44" s="123" t="s">
        <v>165</v>
      </c>
      <c r="F44" s="123"/>
      <c r="G44" s="170"/>
      <c r="H44" s="170"/>
      <c r="I44" s="170"/>
      <c r="J44" s="170"/>
      <c r="K44" s="170"/>
      <c r="L44" s="158"/>
    </row>
    <row r="45" spans="1:12" x14ac:dyDescent="0.35">
      <c r="A45" s="121" t="s">
        <v>109</v>
      </c>
      <c r="B45" s="122">
        <v>9999</v>
      </c>
      <c r="C45" s="144" t="s">
        <v>286</v>
      </c>
      <c r="D45" s="136" t="s">
        <v>361</v>
      </c>
      <c r="E45" s="123" t="s">
        <v>165</v>
      </c>
      <c r="F45" s="123"/>
      <c r="G45" s="170"/>
      <c r="H45" s="170"/>
      <c r="I45" s="170"/>
      <c r="J45" s="170"/>
      <c r="K45" s="170"/>
      <c r="L45" s="158"/>
    </row>
    <row r="46" spans="1:12" x14ac:dyDescent="0.35">
      <c r="A46" s="121" t="s">
        <v>111</v>
      </c>
      <c r="B46" s="122">
        <v>9999</v>
      </c>
      <c r="C46" s="144" t="s">
        <v>286</v>
      </c>
      <c r="D46" s="137" t="s">
        <v>112</v>
      </c>
      <c r="E46" s="123" t="s">
        <v>299</v>
      </c>
      <c r="F46" s="125"/>
      <c r="G46" s="170"/>
      <c r="H46" s="170"/>
      <c r="I46" s="170"/>
      <c r="J46" s="170"/>
      <c r="K46" s="170"/>
      <c r="L46" s="158"/>
    </row>
    <row r="47" spans="1:12" x14ac:dyDescent="0.35">
      <c r="A47" s="121" t="s">
        <v>113</v>
      </c>
      <c r="B47" s="122">
        <v>9999</v>
      </c>
      <c r="C47" s="144" t="s">
        <v>286</v>
      </c>
      <c r="D47" s="138" t="s">
        <v>114</v>
      </c>
      <c r="E47" s="123" t="s">
        <v>299</v>
      </c>
      <c r="F47" s="125"/>
      <c r="G47" s="170"/>
      <c r="H47" s="170"/>
      <c r="I47" s="170"/>
      <c r="J47" s="170"/>
      <c r="K47" s="170"/>
      <c r="L47" s="158"/>
    </row>
    <row r="48" spans="1:12" x14ac:dyDescent="0.35">
      <c r="A48" s="121" t="s">
        <v>115</v>
      </c>
      <c r="B48" s="122">
        <v>9999</v>
      </c>
      <c r="C48" s="144" t="s">
        <v>286</v>
      </c>
      <c r="D48" s="138" t="s">
        <v>116</v>
      </c>
      <c r="E48" s="123" t="s">
        <v>299</v>
      </c>
      <c r="F48" s="125"/>
      <c r="G48" s="170"/>
      <c r="H48" s="170"/>
      <c r="I48" s="170"/>
      <c r="J48" s="170"/>
      <c r="K48" s="170"/>
      <c r="L48" s="158"/>
    </row>
    <row r="49" spans="1:12" x14ac:dyDescent="0.35">
      <c r="A49" s="121" t="s">
        <v>117</v>
      </c>
      <c r="B49" s="122">
        <v>9999</v>
      </c>
      <c r="C49" s="144" t="s">
        <v>286</v>
      </c>
      <c r="D49" s="138" t="s">
        <v>118</v>
      </c>
      <c r="E49" s="123" t="s">
        <v>165</v>
      </c>
      <c r="F49" s="125"/>
      <c r="G49" s="170"/>
      <c r="H49" s="170"/>
      <c r="I49" s="170"/>
      <c r="J49" s="170"/>
      <c r="K49" s="170"/>
      <c r="L49" s="158"/>
    </row>
    <row r="50" spans="1:12" x14ac:dyDescent="0.35">
      <c r="A50" s="121" t="s">
        <v>119</v>
      </c>
      <c r="B50" s="122">
        <v>9999</v>
      </c>
      <c r="C50" s="144" t="s">
        <v>286</v>
      </c>
      <c r="D50" s="138" t="s">
        <v>120</v>
      </c>
      <c r="E50" s="123" t="s">
        <v>165</v>
      </c>
      <c r="F50" s="125"/>
      <c r="G50" s="170"/>
      <c r="H50" s="170"/>
      <c r="I50" s="170"/>
      <c r="J50" s="170"/>
      <c r="K50" s="170"/>
      <c r="L50" s="158"/>
    </row>
    <row r="51" spans="1:12" x14ac:dyDescent="0.35">
      <c r="A51" s="139" t="s">
        <v>121</v>
      </c>
      <c r="B51" s="122">
        <v>9999</v>
      </c>
      <c r="C51" s="144" t="s">
        <v>286</v>
      </c>
      <c r="D51" s="138" t="s">
        <v>122</v>
      </c>
      <c r="E51" s="123" t="s">
        <v>165</v>
      </c>
      <c r="F51" s="123"/>
      <c r="G51" s="170"/>
      <c r="H51" s="170"/>
      <c r="I51" s="170"/>
      <c r="J51" s="170"/>
      <c r="K51" s="170"/>
      <c r="L51" s="158"/>
    </row>
    <row r="52" spans="1:12" x14ac:dyDescent="0.35">
      <c r="A52" s="140" t="s">
        <v>123</v>
      </c>
      <c r="B52" s="122">
        <v>9999</v>
      </c>
      <c r="C52" s="144" t="s">
        <v>286</v>
      </c>
      <c r="D52" s="138" t="s">
        <v>124</v>
      </c>
      <c r="E52" s="123" t="s">
        <v>165</v>
      </c>
      <c r="F52" s="123"/>
      <c r="G52" s="170"/>
      <c r="H52" s="170"/>
      <c r="I52" s="170"/>
      <c r="J52" s="170"/>
      <c r="K52" s="170"/>
      <c r="L52" s="158"/>
    </row>
    <row r="53" spans="1:12" x14ac:dyDescent="0.35">
      <c r="A53" s="140" t="s">
        <v>125</v>
      </c>
      <c r="B53" s="122">
        <v>9999</v>
      </c>
      <c r="C53" s="144" t="s">
        <v>286</v>
      </c>
      <c r="D53" s="138" t="s">
        <v>126</v>
      </c>
      <c r="E53" s="123" t="s">
        <v>165</v>
      </c>
      <c r="F53" s="123"/>
      <c r="G53" s="170"/>
      <c r="H53" s="170"/>
      <c r="I53" s="170"/>
      <c r="J53" s="170"/>
      <c r="K53" s="170"/>
      <c r="L53" s="158"/>
    </row>
    <row r="54" spans="1:12" x14ac:dyDescent="0.35">
      <c r="A54" s="140" t="s">
        <v>127</v>
      </c>
      <c r="B54" s="122">
        <v>9999</v>
      </c>
      <c r="C54" s="144" t="s">
        <v>286</v>
      </c>
      <c r="D54" s="141" t="s">
        <v>128</v>
      </c>
      <c r="E54" s="123" t="s">
        <v>165</v>
      </c>
      <c r="F54" s="123"/>
      <c r="G54" s="170"/>
      <c r="H54" s="170"/>
      <c r="I54" s="170"/>
      <c r="J54" s="170"/>
      <c r="K54" s="170"/>
      <c r="L54" s="158"/>
    </row>
    <row r="55" spans="1:12" x14ac:dyDescent="0.35">
      <c r="A55" s="140" t="s">
        <v>129</v>
      </c>
      <c r="B55" s="122">
        <v>9999</v>
      </c>
      <c r="C55" s="144" t="s">
        <v>286</v>
      </c>
      <c r="D55" s="141" t="s">
        <v>130</v>
      </c>
      <c r="E55" s="123" t="s">
        <v>165</v>
      </c>
      <c r="F55" s="123"/>
      <c r="G55" s="170"/>
      <c r="H55" s="170"/>
      <c r="I55" s="170"/>
      <c r="J55" s="170"/>
      <c r="K55" s="170"/>
      <c r="L55" s="158"/>
    </row>
    <row r="56" spans="1:12" x14ac:dyDescent="0.35">
      <c r="A56" s="140" t="s">
        <v>131</v>
      </c>
      <c r="B56" s="122">
        <v>9999</v>
      </c>
      <c r="C56" s="144" t="s">
        <v>286</v>
      </c>
      <c r="D56" s="141" t="s">
        <v>132</v>
      </c>
      <c r="E56" s="123" t="s">
        <v>165</v>
      </c>
      <c r="F56" s="125"/>
      <c r="G56" s="170"/>
      <c r="H56" s="170"/>
      <c r="I56" s="170"/>
      <c r="J56" s="170"/>
      <c r="K56" s="170"/>
      <c r="L56" s="158"/>
    </row>
    <row r="57" spans="1:12" x14ac:dyDescent="0.35">
      <c r="A57" s="140" t="s">
        <v>135</v>
      </c>
      <c r="B57" s="122">
        <v>9999</v>
      </c>
      <c r="C57" s="144" t="s">
        <v>286</v>
      </c>
      <c r="D57" s="136" t="s">
        <v>362</v>
      </c>
      <c r="E57" s="123" t="s">
        <v>165</v>
      </c>
      <c r="F57" s="123"/>
      <c r="G57" s="170"/>
      <c r="H57" s="170"/>
      <c r="I57" s="170"/>
      <c r="J57" s="170"/>
      <c r="K57" s="170"/>
      <c r="L57" s="158"/>
    </row>
    <row r="58" spans="1:12" x14ac:dyDescent="0.35">
      <c r="A58" s="140" t="s">
        <v>136</v>
      </c>
      <c r="B58" s="122">
        <v>9999</v>
      </c>
      <c r="C58" s="144" t="s">
        <v>286</v>
      </c>
      <c r="D58" s="142" t="s">
        <v>137</v>
      </c>
      <c r="E58" s="123" t="s">
        <v>165</v>
      </c>
      <c r="F58" s="123"/>
      <c r="G58" s="170"/>
      <c r="H58" s="170"/>
      <c r="I58" s="170"/>
      <c r="J58" s="170"/>
      <c r="K58" s="170"/>
      <c r="L58" s="158"/>
    </row>
    <row r="59" spans="1:12" x14ac:dyDescent="0.35">
      <c r="A59" s="140" t="s">
        <v>139</v>
      </c>
      <c r="B59" s="122">
        <v>9999</v>
      </c>
      <c r="C59" s="144" t="s">
        <v>286</v>
      </c>
      <c r="D59" s="143" t="s">
        <v>363</v>
      </c>
      <c r="E59" s="123" t="s">
        <v>165</v>
      </c>
      <c r="F59" s="123"/>
      <c r="G59" s="170"/>
      <c r="H59" s="170"/>
      <c r="I59" s="170"/>
      <c r="J59" s="170"/>
      <c r="K59" s="170"/>
      <c r="L59" s="158"/>
    </row>
    <row r="60" spans="1:12" ht="15" customHeight="1" x14ac:dyDescent="0.35">
      <c r="A60" s="121" t="s">
        <v>141</v>
      </c>
      <c r="B60" s="122">
        <v>9999</v>
      </c>
      <c r="C60" s="144" t="s">
        <v>286</v>
      </c>
      <c r="D60" s="153" t="s">
        <v>303</v>
      </c>
      <c r="E60" s="123" t="s">
        <v>165</v>
      </c>
      <c r="F60" s="123"/>
      <c r="G60" s="170"/>
      <c r="H60" s="170"/>
      <c r="I60" s="170"/>
      <c r="J60" s="170"/>
      <c r="K60" s="170"/>
      <c r="L60" s="158"/>
    </row>
    <row r="61" spans="1:12" ht="15" customHeight="1" x14ac:dyDescent="0.35">
      <c r="A61" s="121" t="s">
        <v>142</v>
      </c>
      <c r="B61" s="122">
        <v>9999</v>
      </c>
      <c r="C61" s="144" t="s">
        <v>286</v>
      </c>
      <c r="D61" s="153" t="s">
        <v>304</v>
      </c>
      <c r="E61" s="123" t="s">
        <v>165</v>
      </c>
      <c r="F61" s="123"/>
      <c r="G61" s="170"/>
      <c r="H61" s="170"/>
      <c r="I61" s="170"/>
      <c r="J61" s="170"/>
      <c r="K61" s="170"/>
      <c r="L61" s="158"/>
    </row>
    <row r="62" spans="1:12" ht="15" customHeight="1" x14ac:dyDescent="0.35">
      <c r="A62" s="121" t="s">
        <v>143</v>
      </c>
      <c r="B62" s="122">
        <v>9999</v>
      </c>
      <c r="C62" s="144" t="s">
        <v>286</v>
      </c>
      <c r="D62" s="153" t="s">
        <v>305</v>
      </c>
      <c r="E62" s="123" t="s">
        <v>165</v>
      </c>
      <c r="F62" s="123"/>
      <c r="G62" s="170"/>
      <c r="H62" s="170"/>
      <c r="I62" s="170"/>
      <c r="J62" s="170"/>
      <c r="K62" s="170"/>
      <c r="L62" s="158"/>
    </row>
    <row r="63" spans="1:12" ht="15" customHeight="1" x14ac:dyDescent="0.35">
      <c r="A63" s="121" t="s">
        <v>144</v>
      </c>
      <c r="B63" s="122">
        <v>9999</v>
      </c>
      <c r="C63" s="144" t="s">
        <v>286</v>
      </c>
      <c r="D63" s="153" t="s">
        <v>306</v>
      </c>
      <c r="E63" s="123" t="s">
        <v>165</v>
      </c>
      <c r="F63" s="123"/>
      <c r="G63" s="170"/>
      <c r="H63" s="170"/>
      <c r="I63" s="170"/>
      <c r="J63" s="170"/>
      <c r="K63" s="170"/>
      <c r="L63" s="158"/>
    </row>
    <row r="64" spans="1:12" ht="15" customHeight="1" x14ac:dyDescent="0.35">
      <c r="A64" s="121" t="s">
        <v>145</v>
      </c>
      <c r="B64" s="122">
        <v>9999</v>
      </c>
      <c r="C64" s="144" t="s">
        <v>286</v>
      </c>
      <c r="D64" s="169" t="s">
        <v>307</v>
      </c>
      <c r="E64" s="123" t="s">
        <v>165</v>
      </c>
      <c r="F64" s="123"/>
      <c r="G64" s="170"/>
      <c r="H64" s="170"/>
      <c r="I64" s="170"/>
      <c r="J64" s="170"/>
      <c r="K64" s="170"/>
      <c r="L64" s="158"/>
    </row>
    <row r="65" spans="1:12" ht="15" customHeight="1" x14ac:dyDescent="0.35">
      <c r="A65" s="121" t="s">
        <v>146</v>
      </c>
      <c r="B65" s="122">
        <v>9999</v>
      </c>
      <c r="C65" s="144" t="s">
        <v>286</v>
      </c>
      <c r="D65" s="169" t="s">
        <v>308</v>
      </c>
      <c r="E65" s="123" t="s">
        <v>165</v>
      </c>
      <c r="F65" s="123"/>
      <c r="G65" s="170"/>
      <c r="H65" s="170"/>
      <c r="I65" s="170"/>
      <c r="J65" s="170"/>
      <c r="K65" s="170"/>
      <c r="L65" s="158"/>
    </row>
    <row r="66" spans="1:12" ht="15" customHeight="1" x14ac:dyDescent="0.35">
      <c r="A66" s="121" t="s">
        <v>147</v>
      </c>
      <c r="B66" s="122">
        <v>9999</v>
      </c>
      <c r="C66" s="144" t="s">
        <v>286</v>
      </c>
      <c r="D66" s="169" t="s">
        <v>309</v>
      </c>
      <c r="E66" s="123" t="s">
        <v>165</v>
      </c>
      <c r="F66" s="123"/>
      <c r="G66" s="170"/>
      <c r="H66" s="170"/>
      <c r="I66" s="170"/>
      <c r="J66" s="170"/>
      <c r="K66" s="170"/>
      <c r="L66" s="158"/>
    </row>
    <row r="67" spans="1:12" ht="15" customHeight="1" x14ac:dyDescent="0.35">
      <c r="A67" s="121" t="s">
        <v>148</v>
      </c>
      <c r="B67" s="122">
        <v>9999</v>
      </c>
      <c r="C67" s="144" t="s">
        <v>286</v>
      </c>
      <c r="D67" s="169" t="s">
        <v>310</v>
      </c>
      <c r="E67" s="123" t="s">
        <v>165</v>
      </c>
      <c r="F67" s="123"/>
      <c r="G67" s="170"/>
      <c r="H67" s="170"/>
      <c r="I67" s="170"/>
      <c r="J67" s="170"/>
      <c r="K67" s="170"/>
      <c r="L67" s="158"/>
    </row>
    <row r="68" spans="1:12" ht="15" customHeight="1" x14ac:dyDescent="0.35">
      <c r="A68" s="121" t="s">
        <v>149</v>
      </c>
      <c r="B68" s="122">
        <v>9999</v>
      </c>
      <c r="C68" s="144" t="s">
        <v>286</v>
      </c>
      <c r="D68" s="169" t="s">
        <v>311</v>
      </c>
      <c r="E68" s="123" t="s">
        <v>165</v>
      </c>
      <c r="F68" s="123"/>
      <c r="G68" s="170"/>
      <c r="H68" s="170"/>
      <c r="I68" s="170"/>
      <c r="J68" s="170"/>
      <c r="K68" s="170"/>
      <c r="L68" s="158"/>
    </row>
    <row r="69" spans="1:12" ht="15" customHeight="1" x14ac:dyDescent="0.35">
      <c r="A69" s="121" t="s">
        <v>150</v>
      </c>
      <c r="B69" s="122">
        <v>9999</v>
      </c>
      <c r="C69" s="144" t="s">
        <v>286</v>
      </c>
      <c r="D69" s="169" t="s">
        <v>312</v>
      </c>
      <c r="E69" s="123" t="s">
        <v>165</v>
      </c>
      <c r="F69" s="123"/>
      <c r="G69" s="170"/>
      <c r="H69" s="170"/>
      <c r="I69" s="170"/>
      <c r="J69" s="170"/>
      <c r="K69" s="170"/>
      <c r="L69" s="158"/>
    </row>
  </sheetData>
  <autoFilter ref="A2:K2" xr:uid="{6C364701-E3B1-4BA0-AA05-894723DB9B5E}"/>
  <dataConsolidate/>
  <conditionalFormatting sqref="E58:F69 E4:E18 F4:F12 E57 E46:F56">
    <cfRule type="cellIs" dxfId="139" priority="139" operator="equal">
      <formula>"ON"</formula>
    </cfRule>
    <cfRule type="cellIs" dxfId="138" priority="140" operator="equal">
      <formula>"OFF"</formula>
    </cfRule>
  </conditionalFormatting>
  <conditionalFormatting sqref="E58:F69 E4:E18 F4:F12 E57 E46:F56">
    <cfRule type="cellIs" dxfId="137" priority="137" operator="equal">
      <formula>"ON"</formula>
    </cfRule>
    <cfRule type="cellIs" dxfId="136" priority="138" operator="equal">
      <formula>"OFF"</formula>
    </cfRule>
  </conditionalFormatting>
  <conditionalFormatting sqref="E58:F69 E4:E18 F4:F12 E57 E46:F56">
    <cfRule type="cellIs" dxfId="135" priority="135" operator="equal">
      <formula>"ON"</formula>
    </cfRule>
    <cfRule type="cellIs" dxfId="134" priority="136" operator="equal">
      <formula>"OFF"</formula>
    </cfRule>
  </conditionalFormatting>
  <conditionalFormatting sqref="E9:F12 E58:F69 E17:E18 E13 E46:F50 E52:F56">
    <cfRule type="cellIs" dxfId="133" priority="133" operator="equal">
      <formula>"ON"</formula>
    </cfRule>
    <cfRule type="cellIs" dxfId="132" priority="134" operator="equal">
      <formula>"OFF"</formula>
    </cfRule>
  </conditionalFormatting>
  <conditionalFormatting sqref="E53:F53">
    <cfRule type="cellIs" dxfId="131" priority="125" operator="equal">
      <formula>"ON"</formula>
    </cfRule>
    <cfRule type="cellIs" dxfId="130" priority="126" operator="equal">
      <formula>"OFF"</formula>
    </cfRule>
  </conditionalFormatting>
  <conditionalFormatting sqref="E58:F69 E13 E17:E18 E46:F50">
    <cfRule type="cellIs" dxfId="129" priority="131" operator="equal">
      <formula>"ON"</formula>
    </cfRule>
    <cfRule type="cellIs" dxfId="128" priority="132" operator="equal">
      <formula>"OFF"</formula>
    </cfRule>
  </conditionalFormatting>
  <conditionalFormatting sqref="E55:F55">
    <cfRule type="cellIs" dxfId="127" priority="129" operator="equal">
      <formula>"ON"</formula>
    </cfRule>
    <cfRule type="cellIs" dxfId="126" priority="130" operator="equal">
      <formula>"OFF"</formula>
    </cfRule>
  </conditionalFormatting>
  <conditionalFormatting sqref="E54:F54">
    <cfRule type="cellIs" dxfId="125" priority="127" operator="equal">
      <formula>"ON"</formula>
    </cfRule>
    <cfRule type="cellIs" dxfId="124" priority="128" operator="equal">
      <formula>"OFF"</formula>
    </cfRule>
  </conditionalFormatting>
  <conditionalFormatting sqref="E52:F52">
    <cfRule type="cellIs" dxfId="123" priority="123" operator="equal">
      <formula>"ON"</formula>
    </cfRule>
    <cfRule type="cellIs" dxfId="122" priority="124" operator="equal">
      <formula>"OFF"</formula>
    </cfRule>
  </conditionalFormatting>
  <conditionalFormatting sqref="E56:F56">
    <cfRule type="cellIs" dxfId="121" priority="121" operator="equal">
      <formula>"ON"</formula>
    </cfRule>
    <cfRule type="cellIs" dxfId="120" priority="122" operator="equal">
      <formula>"OFF"</formula>
    </cfRule>
  </conditionalFormatting>
  <conditionalFormatting sqref="E13 E58:F69 E17:E18 E46:F50 E52:F56">
    <cfRule type="cellIs" dxfId="119" priority="119" operator="equal">
      <formula>"ON"</formula>
    </cfRule>
    <cfRule type="cellIs" dxfId="118" priority="120" operator="equal">
      <formula>"OFF"</formula>
    </cfRule>
  </conditionalFormatting>
  <conditionalFormatting sqref="E9:F10">
    <cfRule type="cellIs" dxfId="117" priority="117" operator="equal">
      <formula>"ON"</formula>
    </cfRule>
    <cfRule type="cellIs" dxfId="116" priority="118" operator="equal">
      <formula>"OFF"</formula>
    </cfRule>
  </conditionalFormatting>
  <conditionalFormatting sqref="E11:F12">
    <cfRule type="cellIs" dxfId="115" priority="115" operator="equal">
      <formula>"ON"</formula>
    </cfRule>
    <cfRule type="cellIs" dxfId="114" priority="116" operator="equal">
      <formula>"OFF"</formula>
    </cfRule>
  </conditionalFormatting>
  <conditionalFormatting sqref="E9:F12">
    <cfRule type="cellIs" dxfId="113" priority="113" operator="equal">
      <formula>"ON"</formula>
    </cfRule>
    <cfRule type="cellIs" dxfId="112" priority="114" operator="equal">
      <formula>"OFF"</formula>
    </cfRule>
  </conditionalFormatting>
  <conditionalFormatting sqref="E57">
    <cfRule type="cellIs" dxfId="111" priority="111" operator="equal">
      <formula>"ON"</formula>
    </cfRule>
    <cfRule type="cellIs" dxfId="110" priority="112" operator="equal">
      <formula>"OFF"</formula>
    </cfRule>
  </conditionalFormatting>
  <conditionalFormatting sqref="E5:F8">
    <cfRule type="cellIs" dxfId="109" priority="109" operator="equal">
      <formula>"ON"</formula>
    </cfRule>
    <cfRule type="cellIs" dxfId="108" priority="110" operator="equal">
      <formula>"OFF"</formula>
    </cfRule>
  </conditionalFormatting>
  <conditionalFormatting sqref="E5:F6">
    <cfRule type="cellIs" dxfId="107" priority="107" operator="equal">
      <formula>"ON"</formula>
    </cfRule>
    <cfRule type="cellIs" dxfId="106" priority="108" operator="equal">
      <formula>"OFF"</formula>
    </cfRule>
  </conditionalFormatting>
  <conditionalFormatting sqref="E6:F6">
    <cfRule type="cellIs" dxfId="105" priority="105" operator="equal">
      <formula>"ON"</formula>
    </cfRule>
    <cfRule type="cellIs" dxfId="104" priority="106" operator="equal">
      <formula>"OFF"</formula>
    </cfRule>
  </conditionalFormatting>
  <conditionalFormatting sqref="E7:F8">
    <cfRule type="cellIs" dxfId="103" priority="103" operator="equal">
      <formula>"ON"</formula>
    </cfRule>
    <cfRule type="cellIs" dxfId="102" priority="104" operator="equal">
      <formula>"OFF"</formula>
    </cfRule>
  </conditionalFormatting>
  <conditionalFormatting sqref="E7:F8">
    <cfRule type="cellIs" dxfId="101" priority="101" operator="equal">
      <formula>"ON"</formula>
    </cfRule>
    <cfRule type="cellIs" dxfId="100" priority="102" operator="equal">
      <formula>"OFF"</formula>
    </cfRule>
  </conditionalFormatting>
  <conditionalFormatting sqref="E4:E18 E46:E69">
    <cfRule type="cellIs" dxfId="99" priority="99" operator="equal">
      <formula>"ON"</formula>
    </cfRule>
    <cfRule type="cellIs" dxfId="98" priority="100" operator="equal">
      <formula>"OFF"</formula>
    </cfRule>
  </conditionalFormatting>
  <conditionalFormatting sqref="F4:F6">
    <cfRule type="cellIs" dxfId="97" priority="97" operator="equal">
      <formula>"ON"</formula>
    </cfRule>
    <cfRule type="cellIs" dxfId="96" priority="98" operator="equal">
      <formula>"OFF"</formula>
    </cfRule>
  </conditionalFormatting>
  <conditionalFormatting sqref="E49:F51">
    <cfRule type="cellIs" dxfId="95" priority="95" operator="equal">
      <formula>"ON"</formula>
    </cfRule>
    <cfRule type="cellIs" dxfId="94" priority="96" operator="equal">
      <formula>"OFF"</formula>
    </cfRule>
  </conditionalFormatting>
  <conditionalFormatting sqref="E49:F49">
    <cfRule type="cellIs" dxfId="93" priority="93" operator="equal">
      <formula>"ON"</formula>
    </cfRule>
    <cfRule type="cellIs" dxfId="92" priority="94" operator="equal">
      <formula>"OFF"</formula>
    </cfRule>
  </conditionalFormatting>
  <conditionalFormatting sqref="E50:F51 E49:E51">
    <cfRule type="cellIs" dxfId="91" priority="91" operator="equal">
      <formula>"ON"</formula>
    </cfRule>
    <cfRule type="cellIs" dxfId="90" priority="92" operator="equal">
      <formula>"OFF"</formula>
    </cfRule>
  </conditionalFormatting>
  <conditionalFormatting sqref="E49:F51">
    <cfRule type="cellIs" dxfId="89" priority="89" operator="equal">
      <formula>"ON"</formula>
    </cfRule>
    <cfRule type="cellIs" dxfId="88" priority="90" operator="equal">
      <formula>"OFF"</formula>
    </cfRule>
  </conditionalFormatting>
  <conditionalFormatting sqref="E7:F8">
    <cfRule type="cellIs" dxfId="87" priority="87" operator="equal">
      <formula>"ON"</formula>
    </cfRule>
    <cfRule type="cellIs" dxfId="86" priority="88" operator="equal">
      <formula>"OFF"</formula>
    </cfRule>
  </conditionalFormatting>
  <conditionalFormatting sqref="E7:F8">
    <cfRule type="cellIs" dxfId="85" priority="85" operator="equal">
      <formula>"ON"</formula>
    </cfRule>
    <cfRule type="cellIs" dxfId="84" priority="86" operator="equal">
      <formula>"OFF"</formula>
    </cfRule>
  </conditionalFormatting>
  <conditionalFormatting sqref="E7:F8">
    <cfRule type="cellIs" dxfId="83" priority="83" operator="equal">
      <formula>"ON"</formula>
    </cfRule>
    <cfRule type="cellIs" dxfId="82" priority="84" operator="equal">
      <formula>"OFF"</formula>
    </cfRule>
  </conditionalFormatting>
  <conditionalFormatting sqref="E5:F6">
    <cfRule type="cellIs" dxfId="81" priority="81" operator="equal">
      <formula>"ON"</formula>
    </cfRule>
    <cfRule type="cellIs" dxfId="80" priority="82" operator="equal">
      <formula>"OFF"</formula>
    </cfRule>
  </conditionalFormatting>
  <conditionalFormatting sqref="E5:F6">
    <cfRule type="cellIs" dxfId="79" priority="79" operator="equal">
      <formula>"ON"</formula>
    </cfRule>
    <cfRule type="cellIs" dxfId="78" priority="80" operator="equal">
      <formula>"OFF"</formula>
    </cfRule>
  </conditionalFormatting>
  <conditionalFormatting sqref="E14:E16">
    <cfRule type="cellIs" dxfId="77" priority="77" operator="equal">
      <formula>"ON"</formula>
    </cfRule>
    <cfRule type="cellIs" dxfId="76" priority="78" operator="equal">
      <formula>"OFF"</formula>
    </cfRule>
  </conditionalFormatting>
  <conditionalFormatting sqref="F57">
    <cfRule type="cellIs" dxfId="75" priority="75" operator="equal">
      <formula>"ON"</formula>
    </cfRule>
    <cfRule type="cellIs" dxfId="74" priority="76" operator="equal">
      <formula>"OFF"</formula>
    </cfRule>
  </conditionalFormatting>
  <conditionalFormatting sqref="F57">
    <cfRule type="cellIs" dxfId="73" priority="73" operator="equal">
      <formula>"ON"</formula>
    </cfRule>
    <cfRule type="cellIs" dxfId="72" priority="74" operator="equal">
      <formula>"OFF"</formula>
    </cfRule>
  </conditionalFormatting>
  <conditionalFormatting sqref="F57">
    <cfRule type="cellIs" dxfId="71" priority="71" operator="equal">
      <formula>"ON"</formula>
    </cfRule>
    <cfRule type="cellIs" dxfId="70" priority="72" operator="equal">
      <formula>"OFF"</formula>
    </cfRule>
  </conditionalFormatting>
  <conditionalFormatting sqref="F57">
    <cfRule type="cellIs" dxfId="69" priority="69" operator="equal">
      <formula>"ON"</formula>
    </cfRule>
    <cfRule type="cellIs" dxfId="68" priority="70" operator="equal">
      <formula>"OFF"</formula>
    </cfRule>
  </conditionalFormatting>
  <conditionalFormatting sqref="F57">
    <cfRule type="cellIs" dxfId="67" priority="67" operator="equal">
      <formula>"ON"</formula>
    </cfRule>
    <cfRule type="cellIs" dxfId="66" priority="68" operator="equal">
      <formula>"OFF"</formula>
    </cfRule>
  </conditionalFormatting>
  <conditionalFormatting sqref="F57">
    <cfRule type="cellIs" dxfId="65" priority="65" operator="equal">
      <formula>"ON"</formula>
    </cfRule>
    <cfRule type="cellIs" dxfId="64" priority="66" operator="equal">
      <formula>"OFF"</formula>
    </cfRule>
  </conditionalFormatting>
  <conditionalFormatting sqref="F56">
    <cfRule type="cellIs" dxfId="63" priority="63" operator="equal">
      <formula>"ON"</formula>
    </cfRule>
    <cfRule type="cellIs" dxfId="62" priority="64" operator="equal">
      <formula>"OFF"</formula>
    </cfRule>
  </conditionalFormatting>
  <conditionalFormatting sqref="F13:F18">
    <cfRule type="cellIs" dxfId="61" priority="61" operator="equal">
      <formula>"ON"</formula>
    </cfRule>
    <cfRule type="cellIs" dxfId="60" priority="62" operator="equal">
      <formula>"OFF"</formula>
    </cfRule>
  </conditionalFormatting>
  <conditionalFormatting sqref="F13:F18">
    <cfRule type="cellIs" dxfId="59" priority="59" operator="equal">
      <formula>"ON"</formula>
    </cfRule>
    <cfRule type="cellIs" dxfId="58" priority="60" operator="equal">
      <formula>"OFF"</formula>
    </cfRule>
  </conditionalFormatting>
  <conditionalFormatting sqref="F13:F18">
    <cfRule type="cellIs" dxfId="57" priority="57" operator="equal">
      <formula>"ON"</formula>
    </cfRule>
    <cfRule type="cellIs" dxfId="56" priority="58" operator="equal">
      <formula>"OFF"</formula>
    </cfRule>
  </conditionalFormatting>
  <conditionalFormatting sqref="F13:F18">
    <cfRule type="cellIs" dxfId="55" priority="55" operator="equal">
      <formula>"ON"</formula>
    </cfRule>
    <cfRule type="cellIs" dxfId="54" priority="56" operator="equal">
      <formula>"OFF"</formula>
    </cfRule>
  </conditionalFormatting>
  <conditionalFormatting sqref="F13:F18">
    <cfRule type="cellIs" dxfId="53" priority="53" operator="equal">
      <formula>"ON"</formula>
    </cfRule>
    <cfRule type="cellIs" dxfId="52" priority="54" operator="equal">
      <formula>"OFF"</formula>
    </cfRule>
  </conditionalFormatting>
  <conditionalFormatting sqref="F13:F18">
    <cfRule type="cellIs" dxfId="51" priority="51" operator="equal">
      <formula>"ON"</formula>
    </cfRule>
    <cfRule type="cellIs" dxfId="50" priority="52" operator="equal">
      <formula>"OFF"</formula>
    </cfRule>
  </conditionalFormatting>
  <conditionalFormatting sqref="E3:F3 E3:E69">
    <cfRule type="cellIs" dxfId="49" priority="49" operator="equal">
      <formula>"ON"</formula>
    </cfRule>
    <cfRule type="cellIs" dxfId="48" priority="50" operator="equal">
      <formula>"OFF"</formula>
    </cfRule>
  </conditionalFormatting>
  <conditionalFormatting sqref="E3:F3 E3:E69">
    <cfRule type="cellIs" dxfId="47" priority="47" operator="equal">
      <formula>"ON"</formula>
    </cfRule>
    <cfRule type="cellIs" dxfId="46" priority="48" operator="equal">
      <formula>"OFF"</formula>
    </cfRule>
  </conditionalFormatting>
  <conditionalFormatting sqref="E3:F3 E3:E69">
    <cfRule type="cellIs" dxfId="45" priority="45" operator="equal">
      <formula>"ON"</formula>
    </cfRule>
    <cfRule type="cellIs" dxfId="44" priority="46" operator="equal">
      <formula>"OFF"</formula>
    </cfRule>
  </conditionalFormatting>
  <conditionalFormatting sqref="E3:F3 E3:E69">
    <cfRule type="cellIs" dxfId="43" priority="43" operator="equal">
      <formula>"ON"</formula>
    </cfRule>
    <cfRule type="cellIs" dxfId="42" priority="44" operator="equal">
      <formula>"OFF"</formula>
    </cfRule>
  </conditionalFormatting>
  <conditionalFormatting sqref="E3:F3 E3:E69">
    <cfRule type="cellIs" dxfId="41" priority="41" operator="equal">
      <formula>"ON"</formula>
    </cfRule>
    <cfRule type="cellIs" dxfId="40" priority="42" operator="equal">
      <formula>"OFF"</formula>
    </cfRule>
  </conditionalFormatting>
  <conditionalFormatting sqref="E3:F3 E3:E69">
    <cfRule type="cellIs" dxfId="39" priority="39" operator="equal">
      <formula>"ON"</formula>
    </cfRule>
    <cfRule type="cellIs" dxfId="38" priority="40" operator="equal">
      <formula>"OFF"</formula>
    </cfRule>
  </conditionalFormatting>
  <conditionalFormatting sqref="E3:E69">
    <cfRule type="cellIs" dxfId="37" priority="37" operator="equal">
      <formula>"ON"</formula>
    </cfRule>
    <cfRule type="cellIs" dxfId="36" priority="38" operator="equal">
      <formula>"OFF"</formula>
    </cfRule>
  </conditionalFormatting>
  <conditionalFormatting sqref="E3:F3 E3:E69">
    <cfRule type="cellIs" dxfId="35" priority="35" operator="equal">
      <formula>"ON"</formula>
    </cfRule>
    <cfRule type="cellIs" dxfId="34" priority="36" operator="equal">
      <formula>"OFF"</formula>
    </cfRule>
  </conditionalFormatting>
  <conditionalFormatting sqref="E3:F3 E3:E69">
    <cfRule type="cellIs" dxfId="33" priority="33" operator="equal">
      <formula>"ON"</formula>
    </cfRule>
    <cfRule type="cellIs" dxfId="32" priority="34" operator="equal">
      <formula>"OFF"</formula>
    </cfRule>
  </conditionalFormatting>
  <conditionalFormatting sqref="E19:F45">
    <cfRule type="cellIs" dxfId="31" priority="31" operator="equal">
      <formula>"ON"</formula>
    </cfRule>
    <cfRule type="cellIs" dxfId="30" priority="32" operator="equal">
      <formula>"OFF"</formula>
    </cfRule>
  </conditionalFormatting>
  <conditionalFormatting sqref="E19:F45">
    <cfRule type="cellIs" dxfId="29" priority="29" operator="equal">
      <formula>"ON"</formula>
    </cfRule>
    <cfRule type="cellIs" dxfId="28" priority="30" operator="equal">
      <formula>"OFF"</formula>
    </cfRule>
  </conditionalFormatting>
  <conditionalFormatting sqref="E19:F45">
    <cfRule type="cellIs" dxfId="27" priority="27" operator="equal">
      <formula>"ON"</formula>
    </cfRule>
    <cfRule type="cellIs" dxfId="26" priority="28" operator="equal">
      <formula>"OFF"</formula>
    </cfRule>
  </conditionalFormatting>
  <conditionalFormatting sqref="E19:E45">
    <cfRule type="cellIs" dxfId="25" priority="25" operator="equal">
      <formula>"ON"</formula>
    </cfRule>
    <cfRule type="cellIs" dxfId="24" priority="26" operator="equal">
      <formula>"OFF"</formula>
    </cfRule>
  </conditionalFormatting>
  <conditionalFormatting sqref="F19:F45">
    <cfRule type="cellIs" dxfId="23" priority="23" operator="equal">
      <formula>"ON"</formula>
    </cfRule>
    <cfRule type="cellIs" dxfId="22" priority="24" operator="equal">
      <formula>"OFF"</formula>
    </cfRule>
  </conditionalFormatting>
  <conditionalFormatting sqref="E19:E45">
    <cfRule type="cellIs" dxfId="21" priority="21" operator="equal">
      <formula>"ON"</formula>
    </cfRule>
    <cfRule type="cellIs" dxfId="20" priority="22" operator="equal">
      <formula>"OFF"</formula>
    </cfRule>
  </conditionalFormatting>
  <conditionalFormatting sqref="E19:E45">
    <cfRule type="cellIs" dxfId="19" priority="19" operator="equal">
      <formula>"ON"</formula>
    </cfRule>
    <cfRule type="cellIs" dxfId="18" priority="20" operator="equal">
      <formula>"OFF"</formula>
    </cfRule>
  </conditionalFormatting>
  <conditionalFormatting sqref="E19:E45">
    <cfRule type="cellIs" dxfId="17" priority="17" operator="equal">
      <formula>"ON"</formula>
    </cfRule>
    <cfRule type="cellIs" dxfId="16" priority="18" operator="equal">
      <formula>"OFF"</formula>
    </cfRule>
  </conditionalFormatting>
  <conditionalFormatting sqref="E19:E45">
    <cfRule type="cellIs" dxfId="15" priority="15" operator="equal">
      <formula>"ON"</formula>
    </cfRule>
    <cfRule type="cellIs" dxfId="14" priority="16" operator="equal">
      <formula>"OFF"</formula>
    </cfRule>
  </conditionalFormatting>
  <conditionalFormatting sqref="E19:E45">
    <cfRule type="cellIs" dxfId="13" priority="13" operator="equal">
      <formula>"ON"</formula>
    </cfRule>
    <cfRule type="cellIs" dxfId="12" priority="14" operator="equal">
      <formula>"OFF"</formula>
    </cfRule>
  </conditionalFormatting>
  <conditionalFormatting sqref="E19:E45">
    <cfRule type="cellIs" dxfId="11" priority="11" operator="equal">
      <formula>"ON"</formula>
    </cfRule>
    <cfRule type="cellIs" dxfId="10" priority="12" operator="equal">
      <formula>"OFF"</formula>
    </cfRule>
  </conditionalFormatting>
  <conditionalFormatting sqref="E19:E45">
    <cfRule type="cellIs" dxfId="9" priority="9" operator="equal">
      <formula>"ON"</formula>
    </cfRule>
    <cfRule type="cellIs" dxfId="8" priority="10" operator="equal">
      <formula>"OFF"</formula>
    </cfRule>
  </conditionalFormatting>
  <conditionalFormatting sqref="E19:E45">
    <cfRule type="cellIs" dxfId="7" priority="7" operator="equal">
      <formula>"ON"</formula>
    </cfRule>
    <cfRule type="cellIs" dxfId="6" priority="8" operator="equal">
      <formula>"OFF"</formula>
    </cfRule>
  </conditionalFormatting>
  <conditionalFormatting sqref="E19:E45">
    <cfRule type="cellIs" dxfId="5" priority="5" operator="equal">
      <formula>"ON"</formula>
    </cfRule>
    <cfRule type="cellIs" dxfId="4" priority="6" operator="equal">
      <formula>"OFF"</formula>
    </cfRule>
  </conditionalFormatting>
  <conditionalFormatting sqref="E49:E50">
    <cfRule type="cellIs" dxfId="3" priority="3" operator="equal">
      <formula>"ON"</formula>
    </cfRule>
    <cfRule type="cellIs" dxfId="2" priority="4" operator="equal">
      <formula>"OFF"</formula>
    </cfRule>
  </conditionalFormatting>
  <conditionalFormatting sqref="E56">
    <cfRule type="cellIs" dxfId="1" priority="1" operator="equal">
      <formula>"ON"</formula>
    </cfRule>
    <cfRule type="cellIs" dxfId="0" priority="2" operator="equal">
      <formula>"OFF"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7"/>
  <dimension ref="A1:AE6"/>
  <sheetViews>
    <sheetView workbookViewId="0">
      <selection activeCell="N34" sqref="N34"/>
    </sheetView>
  </sheetViews>
  <sheetFormatPr defaultRowHeight="14.5" x14ac:dyDescent="0.35"/>
  <cols>
    <col min="1" max="1" width="2.54296875" customWidth="1"/>
    <col min="3" max="3" width="0.7265625" customWidth="1"/>
    <col min="4" max="4" width="2.54296875" customWidth="1"/>
    <col min="5" max="7" width="5.7265625" customWidth="1"/>
    <col min="9" max="9" width="3.1796875" customWidth="1"/>
    <col min="12" max="17" width="10.1796875" customWidth="1"/>
    <col min="18" max="18" width="2.54296875" customWidth="1"/>
    <col min="19" max="19" width="0.7265625" customWidth="1"/>
    <col min="20" max="20" width="2.54296875" customWidth="1"/>
    <col min="21" max="21" width="3.1796875" customWidth="1"/>
    <col min="22" max="22" width="3" customWidth="1"/>
    <col min="23" max="24" width="10.1796875" customWidth="1"/>
    <col min="25" max="26" width="10.1796875" bestFit="1" customWidth="1"/>
    <col min="27" max="27" width="0.7265625" customWidth="1"/>
    <col min="28" max="28" width="21.1796875" bestFit="1" customWidth="1"/>
  </cols>
  <sheetData>
    <row r="1" spans="1:31" ht="15" thickBot="1" x14ac:dyDescent="0.4">
      <c r="A1" s="69" t="s">
        <v>211</v>
      </c>
      <c r="B1" s="70"/>
      <c r="C1" s="71"/>
      <c r="D1" s="72" t="s">
        <v>212</v>
      </c>
      <c r="E1" s="73"/>
      <c r="F1" s="73"/>
      <c r="G1" s="73"/>
      <c r="H1" s="73"/>
      <c r="I1" s="73"/>
      <c r="J1" s="73"/>
      <c r="K1" s="73"/>
      <c r="L1" s="74"/>
      <c r="M1" s="74"/>
      <c r="N1" s="74"/>
      <c r="O1" s="74"/>
      <c r="P1" s="74"/>
      <c r="Q1" s="74"/>
      <c r="R1" s="75"/>
      <c r="S1" s="76"/>
      <c r="T1" s="77" t="s">
        <v>213</v>
      </c>
      <c r="U1" s="78"/>
      <c r="V1" s="79"/>
      <c r="W1" s="78"/>
      <c r="X1" s="80"/>
      <c r="Y1" s="78"/>
      <c r="Z1" s="78"/>
      <c r="AA1" s="71"/>
      <c r="AB1" s="81" t="s">
        <v>214</v>
      </c>
      <c r="AC1" s="82"/>
      <c r="AD1" s="82"/>
      <c r="AE1" s="82"/>
    </row>
    <row r="2" spans="1:31" ht="15" thickBot="1" x14ac:dyDescent="0.4">
      <c r="A2" s="83" t="s">
        <v>215</v>
      </c>
      <c r="B2" s="84" t="s">
        <v>216</v>
      </c>
      <c r="C2" s="71"/>
      <c r="D2" s="85" t="s">
        <v>217</v>
      </c>
      <c r="E2" s="86" t="s">
        <v>218</v>
      </c>
      <c r="F2" s="86" t="s">
        <v>219</v>
      </c>
      <c r="G2" s="86" t="s">
        <v>220</v>
      </c>
      <c r="H2" s="86" t="s">
        <v>221</v>
      </c>
      <c r="I2" s="86" t="s">
        <v>222</v>
      </c>
      <c r="J2" s="86" t="s">
        <v>223</v>
      </c>
      <c r="K2" s="86" t="s">
        <v>224</v>
      </c>
      <c r="L2" s="87" t="s">
        <v>225</v>
      </c>
      <c r="M2" s="88" t="s">
        <v>226</v>
      </c>
      <c r="N2" s="89" t="s">
        <v>227</v>
      </c>
      <c r="O2" s="90" t="s">
        <v>228</v>
      </c>
      <c r="P2" s="91" t="s">
        <v>229</v>
      </c>
      <c r="Q2" s="92" t="s">
        <v>230</v>
      </c>
      <c r="R2" s="93" t="s">
        <v>231</v>
      </c>
      <c r="S2" s="76"/>
      <c r="T2" s="94" t="s">
        <v>232</v>
      </c>
      <c r="U2" s="95" t="s">
        <v>233</v>
      </c>
      <c r="V2" s="96" t="s">
        <v>234</v>
      </c>
      <c r="W2" s="95" t="s">
        <v>235</v>
      </c>
      <c r="X2" s="95" t="s">
        <v>236</v>
      </c>
      <c r="Y2" s="97" t="s">
        <v>237</v>
      </c>
      <c r="Z2" s="98" t="s">
        <v>238</v>
      </c>
      <c r="AA2" s="71"/>
      <c r="AB2" s="99" t="s">
        <v>239</v>
      </c>
      <c r="AC2" s="99" t="s">
        <v>177</v>
      </c>
      <c r="AD2" s="99" t="s">
        <v>240</v>
      </c>
      <c r="AE2" s="99" t="s">
        <v>241</v>
      </c>
    </row>
    <row r="3" spans="1:31" s="101" customFormat="1" x14ac:dyDescent="0.35">
      <c r="A3" s="100">
        <v>1</v>
      </c>
      <c r="B3" s="100" t="s">
        <v>242</v>
      </c>
      <c r="D3" s="100">
        <v>1</v>
      </c>
      <c r="E3" s="100">
        <v>1000</v>
      </c>
      <c r="F3" s="102">
        <v>0</v>
      </c>
      <c r="G3" s="102">
        <v>1779</v>
      </c>
      <c r="H3" s="102" t="s">
        <v>243</v>
      </c>
      <c r="I3" s="102" t="s">
        <v>244</v>
      </c>
      <c r="J3" s="103" t="s">
        <v>209</v>
      </c>
      <c r="K3" s="102" t="s">
        <v>210</v>
      </c>
      <c r="L3" s="104">
        <f>MAX(O3:Q3)+1</f>
        <v>42603</v>
      </c>
      <c r="M3" s="105">
        <v>42767</v>
      </c>
      <c r="N3" s="105">
        <f>DATE(YEAR(M3)+0,MONTH(M3)+1,DAY(M3)+0)</f>
        <v>42795</v>
      </c>
      <c r="O3" s="105">
        <v>42370</v>
      </c>
      <c r="P3" s="104">
        <v>42583</v>
      </c>
      <c r="Q3" s="104">
        <v>42602</v>
      </c>
      <c r="R3" s="106">
        <v>1</v>
      </c>
      <c r="S3" s="107"/>
      <c r="T3" s="108">
        <v>1</v>
      </c>
      <c r="U3" s="109">
        <v>1101009999</v>
      </c>
      <c r="V3" s="100" t="s">
        <v>245</v>
      </c>
      <c r="W3" s="110">
        <v>42824</v>
      </c>
      <c r="X3" s="104">
        <v>43697</v>
      </c>
      <c r="Y3" s="113">
        <f>DATE(YEAR(M3),MONTH(M3),DAY(M3))</f>
        <v>42767</v>
      </c>
      <c r="Z3" s="101" t="s">
        <v>246</v>
      </c>
      <c r="AB3" s="111"/>
      <c r="AC3" s="111"/>
      <c r="AD3" s="112"/>
      <c r="AE3" s="111"/>
    </row>
    <row r="4" spans="1:31" s="101" customFormat="1" x14ac:dyDescent="0.35">
      <c r="A4" s="100">
        <v>2</v>
      </c>
      <c r="B4" s="100" t="s">
        <v>242</v>
      </c>
      <c r="D4" s="100">
        <v>2</v>
      </c>
      <c r="E4" s="100">
        <v>1000</v>
      </c>
      <c r="F4" s="102">
        <v>0</v>
      </c>
      <c r="G4" s="102">
        <v>1779</v>
      </c>
      <c r="H4" s="102" t="s">
        <v>243</v>
      </c>
      <c r="I4" s="102" t="s">
        <v>244</v>
      </c>
      <c r="J4" s="103" t="s">
        <v>209</v>
      </c>
      <c r="K4" s="102" t="s">
        <v>210</v>
      </c>
      <c r="L4" s="104">
        <f>MAX(O4:Q4)+1</f>
        <v>42603</v>
      </c>
      <c r="M4" s="105">
        <v>42005</v>
      </c>
      <c r="N4" s="105">
        <v>42005</v>
      </c>
      <c r="O4" s="105">
        <v>42370</v>
      </c>
      <c r="P4" s="104">
        <v>42583</v>
      </c>
      <c r="Q4" s="104">
        <v>42602</v>
      </c>
      <c r="R4" s="106">
        <v>2</v>
      </c>
      <c r="S4" s="107"/>
      <c r="T4" s="108">
        <v>2</v>
      </c>
      <c r="U4" s="109">
        <v>1101009999</v>
      </c>
      <c r="V4" s="100" t="s">
        <v>245</v>
      </c>
      <c r="W4" s="110">
        <v>42824</v>
      </c>
      <c r="X4" s="104">
        <v>43697</v>
      </c>
      <c r="Y4" s="113">
        <f>DATE(YEAR(M4),MONTH(M4),DAY(M4)+1)</f>
        <v>42006</v>
      </c>
      <c r="AB4" s="111"/>
      <c r="AC4" s="111"/>
      <c r="AD4" s="112" t="s">
        <v>247</v>
      </c>
      <c r="AE4" s="111"/>
    </row>
    <row r="5" spans="1:31" s="101" customFormat="1" x14ac:dyDescent="0.35">
      <c r="F5" s="101" t="s">
        <v>248</v>
      </c>
      <c r="G5" s="101" t="s">
        <v>248</v>
      </c>
      <c r="I5" s="101" t="s">
        <v>248</v>
      </c>
      <c r="J5" s="101" t="s">
        <v>248</v>
      </c>
      <c r="K5" s="101" t="s">
        <v>248</v>
      </c>
      <c r="L5" s="101" t="s">
        <v>248</v>
      </c>
      <c r="M5" s="101" t="s">
        <v>248</v>
      </c>
      <c r="N5" s="101" t="s">
        <v>248</v>
      </c>
      <c r="O5" s="101" t="s">
        <v>248</v>
      </c>
      <c r="P5" s="101" t="s">
        <v>248</v>
      </c>
      <c r="Q5" s="101" t="s">
        <v>248</v>
      </c>
      <c r="X5" s="101" t="s">
        <v>248</v>
      </c>
      <c r="Y5" s="101" t="s">
        <v>248</v>
      </c>
      <c r="Z5" s="101" t="s">
        <v>248</v>
      </c>
    </row>
    <row r="6" spans="1:31" x14ac:dyDescent="0.35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E1049-90C7-44C9-B102-2D846C44015A}">
  <sheetPr codeName="Ark8"/>
  <dimension ref="A1:D12"/>
  <sheetViews>
    <sheetView workbookViewId="0">
      <selection activeCell="D13" sqref="D13"/>
    </sheetView>
  </sheetViews>
  <sheetFormatPr defaultRowHeight="14.5" x14ac:dyDescent="0.35"/>
  <cols>
    <col min="1" max="1" width="7.1796875" bestFit="1" customWidth="1"/>
    <col min="2" max="2" width="10.54296875" bestFit="1" customWidth="1"/>
    <col min="3" max="3" width="15.81640625" bestFit="1" customWidth="1"/>
    <col min="4" max="4" width="71" customWidth="1"/>
  </cols>
  <sheetData>
    <row r="1" spans="1:4" ht="15" thickBot="1" x14ac:dyDescent="0.4">
      <c r="A1" s="149" t="s">
        <v>290</v>
      </c>
      <c r="B1" s="150" t="s">
        <v>291</v>
      </c>
      <c r="C1" s="150" t="s">
        <v>292</v>
      </c>
      <c r="D1" s="151" t="s">
        <v>293</v>
      </c>
    </row>
    <row r="2" spans="1:4" x14ac:dyDescent="0.35">
      <c r="A2" s="154" t="s">
        <v>295</v>
      </c>
      <c r="B2" s="155">
        <v>43864</v>
      </c>
      <c r="C2" s="156" t="s">
        <v>294</v>
      </c>
      <c r="D2" s="157" t="s">
        <v>296</v>
      </c>
    </row>
    <row r="3" spans="1:4" x14ac:dyDescent="0.35">
      <c r="A3" s="154" t="s">
        <v>297</v>
      </c>
      <c r="B3" s="155">
        <v>43865</v>
      </c>
      <c r="C3" s="156" t="s">
        <v>294</v>
      </c>
      <c r="D3" s="157" t="s">
        <v>301</v>
      </c>
    </row>
    <row r="4" spans="1:4" ht="43.5" x14ac:dyDescent="0.35">
      <c r="A4" s="154" t="s">
        <v>313</v>
      </c>
      <c r="B4" s="155">
        <v>43865</v>
      </c>
      <c r="C4" s="156" t="s">
        <v>294</v>
      </c>
      <c r="D4" s="157" t="s">
        <v>314</v>
      </c>
    </row>
    <row r="5" spans="1:4" x14ac:dyDescent="0.35">
      <c r="A5" s="154" t="s">
        <v>315</v>
      </c>
      <c r="B5" s="155">
        <v>43865</v>
      </c>
      <c r="C5" s="156" t="s">
        <v>294</v>
      </c>
      <c r="D5" s="157" t="s">
        <v>317</v>
      </c>
    </row>
    <row r="6" spans="1:4" ht="43.5" x14ac:dyDescent="0.35">
      <c r="A6" s="154" t="s">
        <v>364</v>
      </c>
      <c r="B6" s="155">
        <v>43871</v>
      </c>
      <c r="C6" s="156" t="s">
        <v>294</v>
      </c>
      <c r="D6" s="157" t="s">
        <v>368</v>
      </c>
    </row>
    <row r="7" spans="1:4" ht="16.5" customHeight="1" x14ac:dyDescent="0.35">
      <c r="A7" s="154" t="s">
        <v>365</v>
      </c>
      <c r="B7" s="155">
        <v>43872</v>
      </c>
      <c r="C7" s="156" t="s">
        <v>294</v>
      </c>
      <c r="D7" s="157" t="s">
        <v>367</v>
      </c>
    </row>
    <row r="8" spans="1:4" ht="43.5" x14ac:dyDescent="0.35">
      <c r="A8" s="154" t="s">
        <v>370</v>
      </c>
      <c r="B8" s="155">
        <v>43874</v>
      </c>
      <c r="C8" s="156" t="s">
        <v>294</v>
      </c>
      <c r="D8" s="157" t="s">
        <v>371</v>
      </c>
    </row>
    <row r="9" spans="1:4" x14ac:dyDescent="0.35">
      <c r="A9" s="154" t="s">
        <v>372</v>
      </c>
      <c r="B9" s="155">
        <v>43879</v>
      </c>
      <c r="C9" s="156" t="s">
        <v>294</v>
      </c>
      <c r="D9" s="157" t="s">
        <v>373</v>
      </c>
    </row>
    <row r="10" spans="1:4" x14ac:dyDescent="0.35">
      <c r="A10" s="154" t="s">
        <v>374</v>
      </c>
      <c r="B10" s="155">
        <v>43881</v>
      </c>
      <c r="C10" s="156" t="s">
        <v>294</v>
      </c>
      <c r="D10" s="157" t="s">
        <v>375</v>
      </c>
    </row>
    <row r="11" spans="1:4" x14ac:dyDescent="0.35">
      <c r="A11" s="154" t="s">
        <v>377</v>
      </c>
      <c r="B11" s="155">
        <v>43908</v>
      </c>
      <c r="C11" s="156" t="s">
        <v>294</v>
      </c>
      <c r="D11" s="157" t="s">
        <v>378</v>
      </c>
    </row>
    <row r="12" spans="1:4" ht="29" x14ac:dyDescent="0.35">
      <c r="A12" s="154" t="s">
        <v>379</v>
      </c>
      <c r="B12" s="155">
        <v>43985</v>
      </c>
      <c r="C12" s="156" t="s">
        <v>294</v>
      </c>
      <c r="D12" s="157" t="s">
        <v>380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8</vt:i4>
      </vt:variant>
    </vt:vector>
  </HeadingPairs>
  <TitlesOfParts>
    <vt:vector size="8" baseType="lpstr">
      <vt:lpstr>Start</vt:lpstr>
      <vt:lpstr>Regler</vt:lpstr>
      <vt:lpstr>Snippets</vt:lpstr>
      <vt:lpstr>Formulering</vt:lpstr>
      <vt:lpstr>Specification</vt:lpstr>
      <vt:lpstr>Configuration</vt:lpstr>
      <vt:lpstr>Test</vt:lpstr>
      <vt:lpstr>Version</vt:lpstr>
    </vt:vector>
  </TitlesOfParts>
  <Company>skat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Petersen</dc:creator>
  <cp:lastModifiedBy>Thomas Petersen</cp:lastModifiedBy>
  <cp:lastPrinted>2019-08-31T19:49:58Z</cp:lastPrinted>
  <dcterms:created xsi:type="dcterms:W3CDTF">2019-08-26T11:47:02Z</dcterms:created>
  <dcterms:modified xsi:type="dcterms:W3CDTF">2020-06-03T23:02:56Z</dcterms:modified>
</cp:coreProperties>
</file>