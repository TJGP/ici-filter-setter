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skat-my.sharepoint.com/personal/tp_ufst_dk/Documents/Indgangsfilter/Repos/Filteropsætter - Develop/"/>
    </mc:Choice>
  </mc:AlternateContent>
  <xr:revisionPtr revIDLastSave="169" documentId="8_{68B5A5C9-2262-4D8E-B52D-A31C49F7F320}" xr6:coauthVersionLast="47" xr6:coauthVersionMax="47" xr10:uidLastSave="{E897D9C5-8C96-4C17-9895-D7004C82D216}"/>
  <bookViews>
    <workbookView xWindow="-108" yWindow="-108" windowWidth="23256" windowHeight="12456" xr2:uid="{00000000-000D-0000-FFFF-FFFF00000000}"/>
  </bookViews>
  <sheets>
    <sheet name="Test" sheetId="8" r:id="rId1"/>
    <sheet name="FH-IDs" sheetId="10" r:id="rId2"/>
    <sheet name="Version" sheetId="9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X11" i="8" l="1"/>
  <c r="Q11" i="8"/>
  <c r="P11" i="8"/>
  <c r="N11" i="8"/>
  <c r="E11" i="8"/>
  <c r="D11" i="8"/>
  <c r="R11" i="8" s="1"/>
  <c r="A11" i="8"/>
  <c r="X9" i="8"/>
  <c r="Q9" i="8"/>
  <c r="P9" i="8"/>
  <c r="N9" i="8"/>
  <c r="E9" i="8"/>
  <c r="D9" i="8"/>
  <c r="T9" i="8" s="1"/>
  <c r="A9" i="8"/>
  <c r="X10" i="8"/>
  <c r="Q10" i="8"/>
  <c r="P10" i="8"/>
  <c r="N10" i="8"/>
  <c r="E10" i="8"/>
  <c r="D10" i="8"/>
  <c r="R10" i="8" s="1"/>
  <c r="A10" i="8"/>
  <c r="X8" i="8"/>
  <c r="Q8" i="8"/>
  <c r="P8" i="8"/>
  <c r="L8" i="8" s="1"/>
  <c r="W8" i="8" s="1"/>
  <c r="N8" i="8"/>
  <c r="E8" i="8"/>
  <c r="D8" i="8"/>
  <c r="T8" i="8" s="1"/>
  <c r="A8" i="8"/>
  <c r="L11" i="8" l="1"/>
  <c r="W11" i="8" s="1"/>
  <c r="T11" i="8"/>
  <c r="L9" i="8"/>
  <c r="W9" i="8" s="1"/>
  <c r="R9" i="8"/>
  <c r="T10" i="8"/>
  <c r="L10" i="8"/>
  <c r="W10" i="8" s="1"/>
  <c r="R8" i="8"/>
  <c r="L3" i="8"/>
  <c r="D3" i="8" l="1"/>
  <c r="D4" i="8" s="1"/>
  <c r="O4" i="8" l="1"/>
  <c r="P4" i="8" s="1"/>
  <c r="Q4" i="8" s="1"/>
  <c r="N4" i="8"/>
  <c r="F4" i="8"/>
  <c r="E4" i="8" s="1"/>
  <c r="X4" i="8" l="1"/>
  <c r="L4" i="8"/>
  <c r="W4" i="8" s="1"/>
  <c r="T4" i="8"/>
  <c r="T3" i="8"/>
  <c r="R4" i="8"/>
  <c r="R3" i="8"/>
  <c r="A3" i="8"/>
  <c r="A4" i="8" s="1"/>
  <c r="E3" i="8"/>
  <c r="W3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Petersen</author>
  </authors>
  <commentList>
    <comment ref="Q9" authorId="0" shapeId="0" xr:uid="{F3479DDD-02DF-453A-8ED2-650713D34496}">
      <text>
        <r>
          <rPr>
            <sz val="9"/>
            <color indexed="81"/>
            <rFont val="Tahoma"/>
            <family val="2"/>
          </rPr>
          <t>intet max -&gt; maks af SRB 14d efter FOF eller minimums SRB</t>
        </r>
      </text>
    </comment>
    <comment ref="Q11" authorId="0" shapeId="0" xr:uid="{45368B74-9A09-4EB3-86D9-7939FA70CA50}">
      <text>
        <r>
          <rPr>
            <sz val="9"/>
            <color indexed="81"/>
            <rFont val="Tahoma"/>
            <family val="2"/>
          </rPr>
          <t>intet max -&gt; maks af SRB 14d efter FOF eller minimums SRB</t>
        </r>
      </text>
    </comment>
  </commentList>
</comments>
</file>

<file path=xl/sharedStrings.xml><?xml version="1.0" encoding="utf-8"?>
<sst xmlns="http://schemas.openxmlformats.org/spreadsheetml/2006/main" count="1805" uniqueCount="1694">
  <si>
    <t>Beskrivelse</t>
  </si>
  <si>
    <t>TEST SUITE</t>
  </si>
  <si>
    <t>CLAIM</t>
  </si>
  <si>
    <t>LIABILITY</t>
  </si>
  <si>
    <t>TEST CASE DESCRIPTION</t>
  </si>
  <si>
    <t>Expected Color</t>
  </si>
  <si>
    <t>ClaimAmount</t>
  </si>
  <si>
    <t>PrincipalAmount</t>
  </si>
  <si>
    <t>claimantID</t>
  </si>
  <si>
    <t>claimCategoryCode</t>
  </si>
  <si>
    <t>ClaimTypeCategory</t>
  </si>
  <si>
    <t>claimType</t>
  </si>
  <si>
    <t>claimDescription</t>
  </si>
  <si>
    <t>claimReceivedDate</t>
  </si>
  <si>
    <t>periodFromDate</t>
  </si>
  <si>
    <t>periodToDate</t>
  </si>
  <si>
    <t>creationDate</t>
  </si>
  <si>
    <t>dueDate</t>
  </si>
  <si>
    <t>lastPaymentDate</t>
  </si>
  <si>
    <t>mainClaimID</t>
  </si>
  <si>
    <t>claimID</t>
  </si>
  <si>
    <t>customerID</t>
  </si>
  <si>
    <t>customerType</t>
  </si>
  <si>
    <t>liabilityReceivedDate</t>
  </si>
  <si>
    <t>ClaimantExpirationDate</t>
  </si>
  <si>
    <t>verdictDate</t>
  </si>
  <si>
    <t>settlementDate</t>
  </si>
  <si>
    <t>Regel</t>
  </si>
  <si>
    <t>Hardrule</t>
  </si>
  <si>
    <t>TestResultat</t>
  </si>
  <si>
    <t>ACCEPT</t>
  </si>
  <si>
    <t>INDR</t>
  </si>
  <si>
    <t>HF</t>
  </si>
  <si>
    <t>CPR-Person</t>
  </si>
  <si>
    <t/>
  </si>
  <si>
    <t>*</t>
  </si>
  <si>
    <t>Version</t>
  </si>
  <si>
    <t>Dato</t>
  </si>
  <si>
    <t>Name</t>
  </si>
  <si>
    <t>Changes</t>
  </si>
  <si>
    <t>Thomas Petersen</t>
  </si>
  <si>
    <t>1.1</t>
  </si>
  <si>
    <t>Første versionerede Filteropsætter - bygger på PROTO v1.1</t>
  </si>
  <si>
    <t>1.2</t>
  </si>
  <si>
    <t>Konsekvensknapper</t>
  </si>
  <si>
    <t>1.3</t>
  </si>
  <si>
    <t>Regler: Vendt beskrivelse af 10'er regler [IS-61746]; Tilføjet mulighed for at sætte max i 10.5 til 10.10 [IS-65128]; Ændret 'banklukkedage' til 'FOKO-lukkedage' i 2'er-regler</t>
  </si>
  <si>
    <t>1.4</t>
  </si>
  <si>
    <t>Kommentarfelter; Ret 'bank' til 'FOKO-' i 2.1b; ret gl kommentar i inputbox</t>
  </si>
  <si>
    <t>1.5</t>
  </si>
  <si>
    <t>1.6</t>
  </si>
  <si>
    <t>Indlæs opsætning fra fil; Talformatering af Configuration; Fjern '-' i tekst til R1.1</t>
  </si>
  <si>
    <t>Tilføj snippet for præcist beløb i R_4_2; Kommentarfelter ny højde 20 px; Udvid beskrivelsesfelt; Nyeste regelformuleringer v3.0.9 (FOKO-lukkedag, omvendte 10'er m fed...)</t>
  </si>
  <si>
    <t>1.7</t>
  </si>
  <si>
    <t>Validering af indlæsning; Fix så gl=ny-fil vises i GUI; Beskrivelse på Specification ved reset; Fix så tal fanges i val af FT-id; Advar om udfyldte RF-regler ved skift til HF; Advar om udfyldte perioderegler ved Ingen periode; Reset Formulering ved 'Reset'</t>
  </si>
  <si>
    <t>1.8</t>
  </si>
  <si>
    <t>Fletning af config-filer til hovedfil</t>
  </si>
  <si>
    <t>1.9</t>
  </si>
  <si>
    <t>Kopiering til SharePoint med check in; fix af filtreringsfejl i merge</t>
  </si>
  <si>
    <t>1.10</t>
  </si>
  <si>
    <t>Rettet 'og' til 'eller' i Snippets:E4</t>
  </si>
  <si>
    <t>1.11</t>
  </si>
  <si>
    <t>Kommentar bevares selvom regel er slukket; Cancel og Enable på 'Indlæs fra fil' og 'Hent' bevirker 'Start'</t>
  </si>
  <si>
    <t>1.12</t>
  </si>
  <si>
    <t>Ret R_9_1: 'relateret' til 'relaterede' når quantity &lt;&gt; 1</t>
  </si>
  <si>
    <t>1.13</t>
  </si>
  <si>
    <t>Tilføj ny regel  -R_9_2: Der kan højst være {0} relatere{1} fordring{2} af denne fordringstype
Kommentar 'do' i 7.10 ved kommentar i 7.9
Flyt uvirksom SharePoint-knap ud af synsfelt
Deaktivér, at der spørges om at gemme ændringer i Filteropsætter efter brug - Luk uden Gem
Fjern fejl ved X,Esc,Annuller af Vælg fil i 'Indlæs fil'</t>
  </si>
  <si>
    <t>Tilpas GUI-højde til standard-pc
Tilføj Winmerge sammenligning uden regeltekst på Configuration-fane</t>
  </si>
  <si>
    <t>1.14</t>
  </si>
  <si>
    <t>1.15</t>
  </si>
  <si>
    <t>Ændr sammenligning til manuel start af Winmerge, fordi AMSI på Win10 forhindrer at WinMerge køres fra VBA
Ret tekst til start og slutdato i forhold til modtagelse på periodefane</t>
  </si>
  <si>
    <t>1.16</t>
  </si>
  <si>
    <t>THISTED VAND, SERVICE ApS</t>
  </si>
  <si>
    <t>Statsforvaltningerne</t>
  </si>
  <si>
    <t>DSB SOV</t>
  </si>
  <si>
    <t>SKAT Restanceinddrivelsesmyndigheden</t>
  </si>
  <si>
    <t>SKAT (ID1001) KOBRA</t>
  </si>
  <si>
    <t>SKAT (ID1002) Skattekontoen</t>
  </si>
  <si>
    <t>SKAT (ID1005) SAP38</t>
  </si>
  <si>
    <t>SKAT (ID1006) SAP38</t>
  </si>
  <si>
    <t>SKAT (ID1010)</t>
  </si>
  <si>
    <t>Energiklagenævnet</t>
  </si>
  <si>
    <t>KØBENHAVNS KOMMUNE</t>
  </si>
  <si>
    <t>Frederiksberg Kommune</t>
  </si>
  <si>
    <t>Ballerup Kommune</t>
  </si>
  <si>
    <t>Brøndby Kommune</t>
  </si>
  <si>
    <t>Dragør Kommune</t>
  </si>
  <si>
    <t>Gladsaxe Kommune</t>
  </si>
  <si>
    <t>Glostrup Kommune</t>
  </si>
  <si>
    <t>Herlev Kommune</t>
  </si>
  <si>
    <t>Albertslund Kommune</t>
  </si>
  <si>
    <t>Hvidovre Kommune</t>
  </si>
  <si>
    <t>Høje-Taastrup Kommune</t>
  </si>
  <si>
    <t>Lyngby-Taarbæk Kommune</t>
  </si>
  <si>
    <t>Rødovre Kommune</t>
  </si>
  <si>
    <t>Ishøj Kommune</t>
  </si>
  <si>
    <t>Tårnby Kommune</t>
  </si>
  <si>
    <t>Vallensbæk Kommune</t>
  </si>
  <si>
    <t>Furesø kommune</t>
  </si>
  <si>
    <t>Allerød Kommune</t>
  </si>
  <si>
    <t>Fredensborg kommune</t>
  </si>
  <si>
    <t>Helsingør Kommune</t>
  </si>
  <si>
    <t>Hillerød kommune</t>
  </si>
  <si>
    <t>Hørsholm Kommune</t>
  </si>
  <si>
    <t>Rudersdal kommune</t>
  </si>
  <si>
    <t>Egedal kommune</t>
  </si>
  <si>
    <t>Frederikssund kommune</t>
  </si>
  <si>
    <t>Greve Kommune Rådhuset</t>
  </si>
  <si>
    <t>Køge kommune</t>
  </si>
  <si>
    <t>Lejre kommune</t>
  </si>
  <si>
    <t>Roskilde kommune</t>
  </si>
  <si>
    <t>Solrød Kommune</t>
  </si>
  <si>
    <t>Gribskov kommune</t>
  </si>
  <si>
    <t>Odsherred kommune</t>
  </si>
  <si>
    <t>Holbæk kommune</t>
  </si>
  <si>
    <t>Faxe kommune</t>
  </si>
  <si>
    <t>Kalundborg kommune</t>
  </si>
  <si>
    <t>Slagelse kommune</t>
  </si>
  <si>
    <t>Sorø kommune</t>
  </si>
  <si>
    <t>Stevns kommune</t>
  </si>
  <si>
    <t>Lolland kommune</t>
  </si>
  <si>
    <t>Næstved kommune</t>
  </si>
  <si>
    <t>Vordingborg kommune</t>
  </si>
  <si>
    <t>Bornholms Regionskommune</t>
  </si>
  <si>
    <t>Middelfart kommune</t>
  </si>
  <si>
    <t>Assens kommune</t>
  </si>
  <si>
    <t>Faaborg-Midtfyn kommune</t>
  </si>
  <si>
    <t>Kerteminde kommune</t>
  </si>
  <si>
    <t>Nyborg kommune</t>
  </si>
  <si>
    <t>Odense Kommune</t>
  </si>
  <si>
    <t>Svendborg kommune</t>
  </si>
  <si>
    <t>Nordfyns Kommune</t>
  </si>
  <si>
    <t>Langeland kommune</t>
  </si>
  <si>
    <t>Ærø Kommune</t>
  </si>
  <si>
    <t>Haderslev kommune</t>
  </si>
  <si>
    <t>Billund kommune</t>
  </si>
  <si>
    <t>Sønderborg kommune</t>
  </si>
  <si>
    <t>Aabenraa kommune</t>
  </si>
  <si>
    <t>Tønder kommune</t>
  </si>
  <si>
    <t>Esbjerg kommune</t>
  </si>
  <si>
    <t>Fanø Kommune</t>
  </si>
  <si>
    <t>Varde kommune</t>
  </si>
  <si>
    <t>Vejen kommune</t>
  </si>
  <si>
    <t>Fredericia Kommune</t>
  </si>
  <si>
    <t>Gentofte Kommune</t>
  </si>
  <si>
    <t>Ringsted Kommune</t>
  </si>
  <si>
    <t>Favrskov kommune</t>
  </si>
  <si>
    <t>Vesthimmerlands kommune</t>
  </si>
  <si>
    <t>Struer kommune</t>
  </si>
  <si>
    <t>Læsø Kommune</t>
  </si>
  <si>
    <t>Odder Kommune</t>
  </si>
  <si>
    <t>Halsnæs kommune</t>
  </si>
  <si>
    <t>Randers Kommune</t>
  </si>
  <si>
    <t>Guldborgsund Kommune</t>
  </si>
  <si>
    <t>Rebild Kommune</t>
  </si>
  <si>
    <t>Silkeborg Kommune</t>
  </si>
  <si>
    <t>Thisted Kommune</t>
  </si>
  <si>
    <t>Norddjurs kommune</t>
  </si>
  <si>
    <t>Samsø Kommune</t>
  </si>
  <si>
    <t>Skanderborg kommune</t>
  </si>
  <si>
    <t>Kultur og Borgerservices Økonomi og Personale</t>
  </si>
  <si>
    <t>Horsens kommune</t>
  </si>
  <si>
    <t>Kolding kommune</t>
  </si>
  <si>
    <t>Ikast-Brande kommune</t>
  </si>
  <si>
    <t>Ringkøbing-Skjern kommune</t>
  </si>
  <si>
    <t>Hedensted Kommune</t>
  </si>
  <si>
    <t>Morsø Kommune</t>
  </si>
  <si>
    <t>Vejle Kommune</t>
  </si>
  <si>
    <t>Syddjurs kommune</t>
  </si>
  <si>
    <t>Hjørring kommune</t>
  </si>
  <si>
    <t>Brønderslev kommune</t>
  </si>
  <si>
    <t>Jammerbugt kommune</t>
  </si>
  <si>
    <t>Holstebro kommune</t>
  </si>
  <si>
    <t>Skive kommune</t>
  </si>
  <si>
    <t>Frederikshavn kommune</t>
  </si>
  <si>
    <t>Viborg kommune</t>
  </si>
  <si>
    <t>Mariagerfjord kommune</t>
  </si>
  <si>
    <t>Herning kommune</t>
  </si>
  <si>
    <t>Lemvig kommune</t>
  </si>
  <si>
    <t>Aalborg kommune</t>
  </si>
  <si>
    <t>Moderniseringsstyrelsen</t>
  </si>
  <si>
    <t>Trafikselskabet Movia</t>
  </si>
  <si>
    <t>Metro Service A/S</t>
  </si>
  <si>
    <t>Rigspolitiet</t>
  </si>
  <si>
    <t>Fyns Politi</t>
  </si>
  <si>
    <t>Københavns Politi</t>
  </si>
  <si>
    <t>Københavns Vestegns Politi</t>
  </si>
  <si>
    <t>Midt- og Vestjyllands Politi</t>
  </si>
  <si>
    <t>Midt- og Vestsjællands Politi</t>
  </si>
  <si>
    <t>Nordjyllands Politi</t>
  </si>
  <si>
    <t>Nordsjællands Politi</t>
  </si>
  <si>
    <t>Syd- og Sønderjyllands Politi</t>
  </si>
  <si>
    <t>Politimesteren i Vordingborg M v</t>
  </si>
  <si>
    <t>Politimesteren i Vejle</t>
  </si>
  <si>
    <t>Østjyllands Politi</t>
  </si>
  <si>
    <t>Bornholms Politi</t>
  </si>
  <si>
    <t>DSB ØRESUND A/S</t>
  </si>
  <si>
    <t>Dsb S-Tog A/S</t>
  </si>
  <si>
    <t>DSB (VAT-number)</t>
  </si>
  <si>
    <t>Arbejdsdirektoratet</t>
  </si>
  <si>
    <t>Erhvervsstyrelsen</t>
  </si>
  <si>
    <t>DR</t>
  </si>
  <si>
    <t>Arbejdsmarkedsstyrelsen</t>
  </si>
  <si>
    <t>Statens Administration (EFI)</t>
  </si>
  <si>
    <t>Statens Administration</t>
  </si>
  <si>
    <t>ARRIVA TOG A/S</t>
  </si>
  <si>
    <t>Banedanmark</t>
  </si>
  <si>
    <t>Danmarks Statistik</t>
  </si>
  <si>
    <t>Det Kongelige Bibliotek, National-bibliotek og Københavns Universitetsbibliotek</t>
  </si>
  <si>
    <t>VORDINGBORG FORSYNINGSSERVICE A/S</t>
  </si>
  <si>
    <t>FREDENSBORG FORSYNING A/S</t>
  </si>
  <si>
    <t>NYBORG FORSYNING OG SERVICE A/S</t>
  </si>
  <si>
    <t>FORSYNING HELSINGØR A/S</t>
  </si>
  <si>
    <t>BORNHOLMS SERVICE A/S</t>
  </si>
  <si>
    <t>KALUNDBORG FORSYNING A/S</t>
  </si>
  <si>
    <t>AQUADJURS A/S</t>
  </si>
  <si>
    <t>ASSENS SERVICE A/S</t>
  </si>
  <si>
    <t>ROSKILDE FORSYNING A/S</t>
  </si>
  <si>
    <t>RINGSTED FORSYNING A/S</t>
  </si>
  <si>
    <t>GULDBORGSUND FORSYNING A/S</t>
  </si>
  <si>
    <t>GREVE SPILDEVAND A/S</t>
  </si>
  <si>
    <t>ODSHERRED FORSYNINGSSERVICE A/S</t>
  </si>
  <si>
    <t>HOLBÆK SERVICE A/S</t>
  </si>
  <si>
    <t>HJØRRING VANDSELSKAB A/S</t>
  </si>
  <si>
    <t>STEVNS KOMMUNE HOLDING A/S</t>
  </si>
  <si>
    <t>LOLLAND FORSYNING A/S</t>
  </si>
  <si>
    <t>SVENDBORG FORSYNINGSSERVICE A/S</t>
  </si>
  <si>
    <t>FREDERIKSSUND HOLDING A/S</t>
  </si>
  <si>
    <t>FREDERIKSHAVN FORSYNING A/S</t>
  </si>
  <si>
    <t>RANDERS SPILDEVAND A/S</t>
  </si>
  <si>
    <t>HORSENS VAND A/S</t>
  </si>
  <si>
    <t>SKIVE VAND A/S</t>
  </si>
  <si>
    <t>HTK FORSYNING A/S</t>
  </si>
  <si>
    <t>LYNGBY-TAARBÆK FORSYNING A/S</t>
  </si>
  <si>
    <t>SKANDERBORG FORSYNINGSVIRKSOMHED A/S</t>
  </si>
  <si>
    <t>VEJEN FORSYNING A/S</t>
  </si>
  <si>
    <t>GRIBVAND A/S</t>
  </si>
  <si>
    <t>MARIAGERFJORD VAND A/S</t>
  </si>
  <si>
    <t>KØGE SERVICE A/S</t>
  </si>
  <si>
    <t>FFV ENERGI &amp; MILJØ A/S</t>
  </si>
  <si>
    <t>FREDERIKSBERG FORSYNING A/S</t>
  </si>
  <si>
    <t>Reno Djurs I/S</t>
  </si>
  <si>
    <t>AALBORG FORSYNING, SERVICE A/S</t>
  </si>
  <si>
    <t>FAXE SERVICE A/S</t>
  </si>
  <si>
    <t>FORSYNING BALLERUP SERVICE A/S</t>
  </si>
  <si>
    <t>MORSØ FORSYNING A/S</t>
  </si>
  <si>
    <t>SORØ FORSYNINGSSERVICE A/S</t>
  </si>
  <si>
    <t>Erhvervsstyrelsen (EBST)</t>
  </si>
  <si>
    <t>Fødevarestyrelsen</t>
  </si>
  <si>
    <t>Faglig Fælles A-kasse Dagp.</t>
  </si>
  <si>
    <t>Akademikernes Arbejdsløshedskasse</t>
  </si>
  <si>
    <t>Arbejdsløshedskassen for Journalistik, Kommunikation &amp; Sprog</t>
  </si>
  <si>
    <t>Min A-kasse</t>
  </si>
  <si>
    <t>Amu-Center København</t>
  </si>
  <si>
    <t>Ankestyrelsen</t>
  </si>
  <si>
    <t>Arbejdsskadestyrelsen</t>
  </si>
  <si>
    <t>Arbejdstilsynet</t>
  </si>
  <si>
    <t>Arbejdsløshedskassen ASE</t>
  </si>
  <si>
    <t>BORNHOLMSTRAFIKKEN A/S</t>
  </si>
  <si>
    <t>Danmarks Pædagogiske Universitet</t>
  </si>
  <si>
    <t>Danmarks Tekniske Universitet</t>
  </si>
  <si>
    <t>Det Kongelige Danske Musikkonservatorium</t>
  </si>
  <si>
    <t>Det Kongelige Teater og Kapel</t>
  </si>
  <si>
    <t>Eksport Kredit Fonden</t>
  </si>
  <si>
    <t>Skatteministeriet</t>
  </si>
  <si>
    <t>Beskæftigelsesministeriet Departementet</t>
  </si>
  <si>
    <t>Blik og Rør Arbejderforbundet i Danmark</t>
  </si>
  <si>
    <t>Campus Bornholm</t>
  </si>
  <si>
    <t>Learnmark Horsens</t>
  </si>
  <si>
    <t>Business College Syd Mommark Handelskostskole - Sønderborg Handelskole</t>
  </si>
  <si>
    <t>Business Danmarks A-Kasse, Honorar</t>
  </si>
  <si>
    <t>Byggefagenes Arbejdsløshedskasse</t>
  </si>
  <si>
    <t>Bygholm Landbrugsskole</t>
  </si>
  <si>
    <t>BUPL-A Børne- og Ungdomspædagogernes Landsdækkende Arbejdsløshedskasse</t>
  </si>
  <si>
    <t>CA a-kasse</t>
  </si>
  <si>
    <t>CELF - Center for Erhvervsrettede uddannelser Lolland Falster</t>
  </si>
  <si>
    <t>CPH WEST Uddannelsescenter København Vest</t>
  </si>
  <si>
    <t>Dalum Landbrugsskole</t>
  </si>
  <si>
    <t>Dana-Arbejdsløshedskasse for Selvstændige</t>
  </si>
  <si>
    <t>Kunstakademiets Designskole</t>
  </si>
  <si>
    <t>Dansk Røde Kors Asylafdeling</t>
  </si>
  <si>
    <t>Det Faglige Hus - A-kasse</t>
  </si>
  <si>
    <t>Designskolen Kolding</t>
  </si>
  <si>
    <t>Det Danske Filminstitut</t>
  </si>
  <si>
    <t>Viden Djurs</t>
  </si>
  <si>
    <t>Lærernes a-kasse</t>
  </si>
  <si>
    <t>Danmarks Meteorologiske Institut -Dmi</t>
  </si>
  <si>
    <t>Helsingør Civilret</t>
  </si>
  <si>
    <t>Domstolsstyrelsen</t>
  </si>
  <si>
    <t>Egedal Gymnasium &amp; HF</t>
  </si>
  <si>
    <t>EA Copenhagen Business</t>
  </si>
  <si>
    <t>Erhvervsskolen Nordsjælland</t>
  </si>
  <si>
    <t>Erhvervsskolerne Aars</t>
  </si>
  <si>
    <t>Rybners</t>
  </si>
  <si>
    <t>EUC NORD</t>
  </si>
  <si>
    <t>EUC Nordvest</t>
  </si>
  <si>
    <t>EUC Nordvestsjælland</t>
  </si>
  <si>
    <t>EUC Vest</t>
  </si>
  <si>
    <t>Euc Sjælland</t>
  </si>
  <si>
    <t>EUC Syd</t>
  </si>
  <si>
    <t>EUC Lillebælt</t>
  </si>
  <si>
    <t>FOA, Fag og Arbejdes Arbejdsløshedskasse</t>
  </si>
  <si>
    <t>Finanstilsynet</t>
  </si>
  <si>
    <t>NaturErhvervstyrelsen / Fiskeridirektoratet</t>
  </si>
  <si>
    <t>Konkurrence- og Forbrugerstyrelsen</t>
  </si>
  <si>
    <t>Frederiksberg Gymnasium</t>
  </si>
  <si>
    <t>Frie Funktionærers A-kasse Tværfaglig</t>
  </si>
  <si>
    <t>FTF-A Funktionærernes og Tjeneste-Mændenes Fælles Arbejdsløshedsks Arbejdsløshedskasse</t>
  </si>
  <si>
    <t>Funktionærernes og Servicefagenes A-Kasse</t>
  </si>
  <si>
    <t>Fynbus</t>
  </si>
  <si>
    <t>Nærings-og Nydelsesmiddelarbejdernes Arbejdsløshedskasse</t>
  </si>
  <si>
    <t>Grundejernes Investeringsfond</t>
  </si>
  <si>
    <t>HK/Danmarks A-kasse</t>
  </si>
  <si>
    <t>Copenhagen Business School Handelshøjskolen</t>
  </si>
  <si>
    <t>Handelsskolen København Nord</t>
  </si>
  <si>
    <t>Zealand Business College</t>
  </si>
  <si>
    <t>HANSENBERG</t>
  </si>
  <si>
    <t>HF-Centret Efterslægten</t>
  </si>
  <si>
    <t>Hjemmeværnskommandoen</t>
  </si>
  <si>
    <t>Hotel- og Restaurantskolen</t>
  </si>
  <si>
    <t>Højesteret</t>
  </si>
  <si>
    <t>Høng Gymnasium og HF</t>
  </si>
  <si>
    <t>Håndværker-Skolehjemmet i København</t>
  </si>
  <si>
    <t>International Business College</t>
  </si>
  <si>
    <t>IT- og Telestyrelsen</t>
  </si>
  <si>
    <t>Justitsministeriet, Departementet</t>
  </si>
  <si>
    <t>Kalø Økologisk Landbrugsskole</t>
  </si>
  <si>
    <t>Kold college</t>
  </si>
  <si>
    <t>Kolding Gymnasium, HF-kursus og IB School</t>
  </si>
  <si>
    <t>Kristelig A-kasse</t>
  </si>
  <si>
    <t>Københavns Byret Domhuset</t>
  </si>
  <si>
    <t>Københavns Universitet</t>
  </si>
  <si>
    <t>Den Selvejende Institution Køge Handelsskole og Handelsgymnasium</t>
  </si>
  <si>
    <t>Ledernes Arbejdsløshedskasse</t>
  </si>
  <si>
    <t>Lægemiddelstyrelsen</t>
  </si>
  <si>
    <t>Magistrenes Arbejdsløshedskasse Dagpenge og Kursusgodtgørelse M v</t>
  </si>
  <si>
    <t>Mercantec</t>
  </si>
  <si>
    <t>Metalarbejdernes Arbejdsløshedskasse</t>
  </si>
  <si>
    <t>Midttrafik</t>
  </si>
  <si>
    <t>Digitaliseringsinitiativer</t>
  </si>
  <si>
    <t>Nationalmuseet</t>
  </si>
  <si>
    <t>Niels Brock Copenhagen Business College</t>
  </si>
  <si>
    <t>Nordjyllands Trafikselskab</t>
  </si>
  <si>
    <t>Region Hovedstaden Nordsjællands Misbrugscenter</t>
  </si>
  <si>
    <t>Nykøbing Katedralskole</t>
  </si>
  <si>
    <t>Nærum Gymnasium</t>
  </si>
  <si>
    <t>Næstved Gymnasium og HF</t>
  </si>
  <si>
    <t>Patent- og Varemærkestyrelsen</t>
  </si>
  <si>
    <t>Patientombuddet</t>
  </si>
  <si>
    <t>Pensionsstyrelsen</t>
  </si>
  <si>
    <t>Plantedirektoratet</t>
  </si>
  <si>
    <t>Professionshøjskolen Metropol</t>
  </si>
  <si>
    <t>REGIONSTOG A/S</t>
  </si>
  <si>
    <t>University College Syddanmark</t>
  </si>
  <si>
    <t>Randers HF &amp; VUC Uddannelsescentret</t>
  </si>
  <si>
    <t>Social- og Sundhedsskolen i Randers</t>
  </si>
  <si>
    <t>Region Midtjylland</t>
  </si>
  <si>
    <t>Esbjerg Rets 1 Afdeling</t>
  </si>
  <si>
    <t>Retten i Glostrup</t>
  </si>
  <si>
    <t>Retten i Herning</t>
  </si>
  <si>
    <t>Retten i Hillerød</t>
  </si>
  <si>
    <t>Retten i Horsens</t>
  </si>
  <si>
    <t>Retten i Hjørring</t>
  </si>
  <si>
    <t>Retten i Holbæk</t>
  </si>
  <si>
    <t>Retten i Holstebro</t>
  </si>
  <si>
    <t>Retten i Kolding</t>
  </si>
  <si>
    <t>Retten i Lyngby</t>
  </si>
  <si>
    <t>Dommeren i Nykøbing f</t>
  </si>
  <si>
    <t>Retten i Næstved</t>
  </si>
  <si>
    <t>Retten i Odense</t>
  </si>
  <si>
    <t>Retten i Randers</t>
  </si>
  <si>
    <t>Retten i Roskilde</t>
  </si>
  <si>
    <t>Dommeren i Rønne</t>
  </si>
  <si>
    <t>Retten i Svendborg</t>
  </si>
  <si>
    <t>Civilretten i Sønderborg</t>
  </si>
  <si>
    <t>Retten i Viborg</t>
  </si>
  <si>
    <t>Retten i Aalborg</t>
  </si>
  <si>
    <t>Århus By-og Herredsret</t>
  </si>
  <si>
    <t>Retten På Frederiksberg Hovedkassen</t>
  </si>
  <si>
    <t>Roskilde Gymnasium</t>
  </si>
  <si>
    <t>Roskilde Handelsskole</t>
  </si>
  <si>
    <t>Roskilde Tekniske Skole</t>
  </si>
  <si>
    <t>Roskilde Universitet</t>
  </si>
  <si>
    <t>Rødkilde Gymnasium</t>
  </si>
  <si>
    <t>Scandlines Danmark A/S</t>
  </si>
  <si>
    <t>Selandia Center for Erhvervsrettet Uddannelse</t>
  </si>
  <si>
    <t>Handelsskolen Silkeborg</t>
  </si>
  <si>
    <t>Teknisk Skole Silkeborg</t>
  </si>
  <si>
    <t>Skive Handelsskole</t>
  </si>
  <si>
    <t>Skive Tekniske Skole Postbox 20</t>
  </si>
  <si>
    <t>Skov- og Naturstyrelsen</t>
  </si>
  <si>
    <t>Uddannelsescentret i Roskilde</t>
  </si>
  <si>
    <t>Bygningsstyrelsen</t>
  </si>
  <si>
    <t>Socialpædagogernes Landsdækkende Arbejdsløshedskasse - dagpenge m v</t>
  </si>
  <si>
    <t>Sosu Nord</t>
  </si>
  <si>
    <t>Statens Arkiver, Rigsarkivet</t>
  </si>
  <si>
    <t>Statens Luftfartsvæsen</t>
  </si>
  <si>
    <t>Statsbiblioteket</t>
  </si>
  <si>
    <t>Kystdirektoratet</t>
  </si>
  <si>
    <t>FREDERIKSHAVN HAVN A/S</t>
  </si>
  <si>
    <t>Stenhus Gymnasium og HF</t>
  </si>
  <si>
    <t>Styrelsen for Bibliotek og Medier</t>
  </si>
  <si>
    <t>Styrelsen for International Uddanelse</t>
  </si>
  <si>
    <t>Svendborg Erhvervsskole</t>
  </si>
  <si>
    <t>Syddansk Erhvervsskole Odense-Vejle</t>
  </si>
  <si>
    <t>Syddansk Universitet (University of Southern Denmark)</t>
  </si>
  <si>
    <t>Sydtrafik</t>
  </si>
  <si>
    <t>Søfartsstyrelsen, tilskud //Rettet 07-07-2020</t>
  </si>
  <si>
    <t>Teknisk Erhvervsskole Center</t>
  </si>
  <si>
    <t>Tech College Aalborg</t>
  </si>
  <si>
    <t>Teknikernes Arbejdsløshedskasse</t>
  </si>
  <si>
    <t>Tradium</t>
  </si>
  <si>
    <t>Tønder Handelsskole</t>
  </si>
  <si>
    <t>Professionshøjskolen University College Vest</t>
  </si>
  <si>
    <t>Herningsholm Erhvervsskole</t>
  </si>
  <si>
    <t>Uddannelsescenter Holstebro</t>
  </si>
  <si>
    <t>Udenrigsministeriet</t>
  </si>
  <si>
    <t>Udlændingestyrelsen</t>
  </si>
  <si>
    <t>Ministeriet for Børn og Undervisning</t>
  </si>
  <si>
    <t>Professionshøjskolen Lillebælt / University College Lillebælt</t>
  </si>
  <si>
    <t>Professionshøjskolen University College Nordjylland</t>
  </si>
  <si>
    <t>University College Sjælland</t>
  </si>
  <si>
    <t>Vejdirektoratet</t>
  </si>
  <si>
    <t>Socialministeriet Departementet</t>
  </si>
  <si>
    <t>VESTFORSYNING ERHVERV A/S</t>
  </si>
  <si>
    <t>Vestre Landsret</t>
  </si>
  <si>
    <t>Østre Landsret Administrationen</t>
  </si>
  <si>
    <t>Professionshøjskolen VIA University College</t>
  </si>
  <si>
    <t>Viborg Katedralskole</t>
  </si>
  <si>
    <t>Viby Gymnasium og HF</t>
  </si>
  <si>
    <t>Vordingborg Gymnasium &amp; HF</t>
  </si>
  <si>
    <t>HF &amp; VUC FYN</t>
  </si>
  <si>
    <t>Kolding HF og VUC</t>
  </si>
  <si>
    <t>VUC &amp; hf Nordjylland</t>
  </si>
  <si>
    <t>VUC Roskilde</t>
  </si>
  <si>
    <t>VUC Storstrøm</t>
  </si>
  <si>
    <t>VUC Sønderjylland</t>
  </si>
  <si>
    <t>VUC Vest</t>
  </si>
  <si>
    <t>Nordvestsjællands HF og VUC</t>
  </si>
  <si>
    <t>Ørestad Gymnasium</t>
  </si>
  <si>
    <t>Aalborg Handelsskole</t>
  </si>
  <si>
    <t>Aalborg Katedralskole</t>
  </si>
  <si>
    <t>Aalborg Universitet</t>
  </si>
  <si>
    <t>Århus Akademi</t>
  </si>
  <si>
    <t>Århus Købmandsskole</t>
  </si>
  <si>
    <t>Århus Social- og Sundhedsskole</t>
  </si>
  <si>
    <t>AARHUS TECH</t>
  </si>
  <si>
    <t>AARHUS UNIVERSITET</t>
  </si>
  <si>
    <t>Aarhus Universitet</t>
  </si>
  <si>
    <t>Beredskabsstyrelsen</t>
  </si>
  <si>
    <t>Farvandsvæsenet</t>
  </si>
  <si>
    <t>Dalhoffsminde</t>
  </si>
  <si>
    <t>Centralforeningen for Stampersonel</t>
  </si>
  <si>
    <t>Ingeniørernes Arbejdsløshedskasse Iak</t>
  </si>
  <si>
    <t>Justitsministeriet for Kriminalforsorgen Kontrakt- pensionen Fyn</t>
  </si>
  <si>
    <t>Geodatastyrelsen</t>
  </si>
  <si>
    <t>INGENIØRHØJSKOLEN I KØBENHAVN</t>
  </si>
  <si>
    <t>Københavns Tekniske Skole</t>
  </si>
  <si>
    <t>Produktionsafgiftsfonden for Juletræer og Pyntegrønt</t>
  </si>
  <si>
    <t>Kvalitets- og Tilsynsstyrelsen</t>
  </si>
  <si>
    <t>HERLEV FORSYNING A/S</t>
  </si>
  <si>
    <t>ÆRØ VAND A/S</t>
  </si>
  <si>
    <t>REBILD VAND &amp; SPILDEVAND A/S</t>
  </si>
  <si>
    <t>HEDENSTED SPILDEVAND A/S</t>
  </si>
  <si>
    <t>KOLDING SPILDEVAND A/S</t>
  </si>
  <si>
    <t>NK-SERVICE A/S</t>
  </si>
  <si>
    <t>MIDDELFART SPILDEVAND A/S</t>
  </si>
  <si>
    <t>LANGELAND FORSYNING A/S</t>
  </si>
  <si>
    <t>FANØ VAND A/S</t>
  </si>
  <si>
    <t>TÅRNBYFORSYNING SERVICE A/S</t>
  </si>
  <si>
    <t>SOLRØD FORSYNING HOLDING A/S</t>
  </si>
  <si>
    <t>BRØNDERSLEV FORSYNING A/S</t>
  </si>
  <si>
    <t>JAMMERBUGT FORSYNING A/S</t>
  </si>
  <si>
    <t>THISTED SPILDEVAND A/S</t>
  </si>
  <si>
    <t>ADMINISTRATIONSSERVICE FYN A/S</t>
  </si>
  <si>
    <t>ALLERØD SPILDEVAND A/S</t>
  </si>
  <si>
    <t>ESBJERG FORSYNING A/S</t>
  </si>
  <si>
    <t>IKAST-BRANDE SPILDEVAND A/S</t>
  </si>
  <si>
    <t>STRUER FORSYNING SERVICE A/S</t>
  </si>
  <si>
    <t>LÆSØ FORSYNING A/S</t>
  </si>
  <si>
    <t>HF &amp; VUC Nordsjælland</t>
  </si>
  <si>
    <t>CAMPUS VEJLE</t>
  </si>
  <si>
    <t>VUC Skive-Viborg</t>
  </si>
  <si>
    <t>Kongeriget Danmarks Fiskeribank</t>
  </si>
  <si>
    <t>I/S Refa</t>
  </si>
  <si>
    <t>ALBERTSLUND VAND OG SPILDEVAND ApS</t>
  </si>
  <si>
    <t>BILLUND VAND A/S</t>
  </si>
  <si>
    <t>EGEDAL FORSYNING &amp; SERVICE A/S</t>
  </si>
  <si>
    <t>FAVRSKOV FORSYNING A/S</t>
  </si>
  <si>
    <t>FREDERICIA SPILDEVAND A/S</t>
  </si>
  <si>
    <t>GLOSTRUP SERVICE A/S</t>
  </si>
  <si>
    <t>HILLERØD FORSYNING HOLDING A/S</t>
  </si>
  <si>
    <t>ISHØJ FORSYNING ApS</t>
  </si>
  <si>
    <t>KERTEMINDE FORSYNING A/S</t>
  </si>
  <si>
    <t>LEMVIG VAND OG SPILDEVAND A/S</t>
  </si>
  <si>
    <t>NORDVAND A/S</t>
  </si>
  <si>
    <t>PROVAS-HADERSLEV FORSYNINGSSERVICEA/S</t>
  </si>
  <si>
    <t>RØDOVRE FORSYNING A/S</t>
  </si>
  <si>
    <t>SK ENERGISALG A/S</t>
  </si>
  <si>
    <t>SK VARME A/S</t>
  </si>
  <si>
    <t>SK GADELYS A/S</t>
  </si>
  <si>
    <t>Agroskolen</t>
  </si>
  <si>
    <t>AMU-SYD</t>
  </si>
  <si>
    <t>APPLUS DANMARK A/S</t>
  </si>
  <si>
    <t>Arbejdsmiljøafgift</t>
  </si>
  <si>
    <t>Arkitektskolen Aarhus</t>
  </si>
  <si>
    <t>Kriminalforsorgen</t>
  </si>
  <si>
    <t>Asmildkloster Landbrugsskole</t>
  </si>
  <si>
    <t>Arbejdsmarkedets Tillægspension</t>
  </si>
  <si>
    <t>Beredskabsforbundet</t>
  </si>
  <si>
    <t>Brønderslev Gymnasium og HF kursus</t>
  </si>
  <si>
    <t>Naturstyrelsen</t>
  </si>
  <si>
    <t>Civilstyrelsen</t>
  </si>
  <si>
    <t>CPR-administrationen</t>
  </si>
  <si>
    <t>Det Informationsvidenskabelige Akademi</t>
  </si>
  <si>
    <t>Danmarks Medie- og Journalisthøjskole</t>
  </si>
  <si>
    <t>De Nationale Geologiske Undersøgelser for Danmark og Grønland</t>
  </si>
  <si>
    <t>Dansk Flygtningehjælp</t>
  </si>
  <si>
    <t>JordbrugetsUdannelsesCenter Århus</t>
  </si>
  <si>
    <t>Idrætten ved DTU</t>
  </si>
  <si>
    <t>Det Jyske Musikkonservatorium</t>
  </si>
  <si>
    <t>Kunstakademiets Konservatorskole</t>
  </si>
  <si>
    <t>Beskæftigelsesministeriet AdministrationsCenter (BAC)</t>
  </si>
  <si>
    <t>El-Fagets Arbejdsløshedskasse</t>
  </si>
  <si>
    <t>Klima- Energi- og Bygnings- ministeriet</t>
  </si>
  <si>
    <t>Erhvervsakademi Sjælland</t>
  </si>
  <si>
    <t>Erhvervsakademi Århus</t>
  </si>
  <si>
    <t>Esbjerg Gymnasium &amp; HF</t>
  </si>
  <si>
    <t>Espergærde Gymnasium og HF</t>
  </si>
  <si>
    <t>Familiestyrelsen</t>
  </si>
  <si>
    <t>Flygtningenævnet</t>
  </si>
  <si>
    <t>Folketinget</t>
  </si>
  <si>
    <t>Styrelsen for Forskning og Innovation</t>
  </si>
  <si>
    <t>Træningsskolens Arb Udd</t>
  </si>
  <si>
    <t>Forsvarsministeriet, Departementet</t>
  </si>
  <si>
    <t>Frederikshavn Gymnasium og HF kursus</t>
  </si>
  <si>
    <t>Friskolen i Hinnerup</t>
  </si>
  <si>
    <t>Gl.Hellerup Gymnasium</t>
  </si>
  <si>
    <t>Grenaa Gymnasium</t>
  </si>
  <si>
    <t>Gribskov Gymnasium</t>
  </si>
  <si>
    <t>Grindsted Landbrugsskole</t>
  </si>
  <si>
    <t>Gråsten Landbrugsskole</t>
  </si>
  <si>
    <t>Helsingør Gymnasium</t>
  </si>
  <si>
    <t>Himmelev Gymnasium</t>
  </si>
  <si>
    <t>Horsens Statsskole</t>
  </si>
  <si>
    <t>Humanica Social- og Sundhedsuddannelser</t>
  </si>
  <si>
    <t>Idrætsskolerne Ikast</t>
  </si>
  <si>
    <t>Ikast-Brande Gymnasium</t>
  </si>
  <si>
    <t>Ingeniørhøjskolen Aarhus Universitet</t>
  </si>
  <si>
    <t>IT-Universitetet i København</t>
  </si>
  <si>
    <t>Kulturministeriets koncerncenter</t>
  </si>
  <si>
    <t>Det Kongelige Danske Kunst- akademis Skoler for Arkitektur, Design og Konservering</t>
  </si>
  <si>
    <t>Kunststyrelsen</t>
  </si>
  <si>
    <t>Københavns Erhvervsakademi</t>
  </si>
  <si>
    <t>LOKALBANEN A/S</t>
  </si>
  <si>
    <t>Maribo Gymnasium</t>
  </si>
  <si>
    <t>Frederikshavn maritime uddan- nelsescenter MARTEC</t>
  </si>
  <si>
    <t>Militærnægteradministrationen</t>
  </si>
  <si>
    <t>Miljøministeriet Departementet</t>
  </si>
  <si>
    <t>Miljøstyrelsen</t>
  </si>
  <si>
    <t>Ministeriet for Sundhed og Forebyggelse</t>
  </si>
  <si>
    <t>EUC Lolland</t>
  </si>
  <si>
    <t>Natur- og Miljøklagenævnet</t>
  </si>
  <si>
    <t>Naviair</t>
  </si>
  <si>
    <t>Nyborg Gymnasium</t>
  </si>
  <si>
    <t>Ribe amts trafikselskab</t>
  </si>
  <si>
    <t>Risskov Gymnasium</t>
  </si>
  <si>
    <t>Forskningscenter Risø</t>
  </si>
  <si>
    <t>Roskilde Katedralskole</t>
  </si>
  <si>
    <t>Rungsted Gymnasium</t>
  </si>
  <si>
    <t>Rytmisk Musikkonservatorium</t>
  </si>
  <si>
    <t>Sct. Knuds Gymnasium</t>
  </si>
  <si>
    <t>Sikkerhedsstyrelsen</t>
  </si>
  <si>
    <t>Silkeborg Amtsgymnasium</t>
  </si>
  <si>
    <t>SK SPILDEVAND A/S</t>
  </si>
  <si>
    <t>Skanderborg-Odder, CENTER FOR UDDANNELSE</t>
  </si>
  <si>
    <t>Skive Gymnasium og HF</t>
  </si>
  <si>
    <t>Skovskolen</t>
  </si>
  <si>
    <t>Social- og Sundhedsskolen Fyn</t>
  </si>
  <si>
    <t>Social-og Sundhedsskolen</t>
  </si>
  <si>
    <t>Social- og Sundhedsskolen Esbjerg</t>
  </si>
  <si>
    <t>Sorø Akademis Skole</t>
  </si>
  <si>
    <t>SOSU-Uddannelser i Greve</t>
  </si>
  <si>
    <t>Statens Forsvarshistoriske Museum</t>
  </si>
  <si>
    <t>Statens Serum Institut</t>
  </si>
  <si>
    <t>Statsforvaltningen Hovedstaden</t>
  </si>
  <si>
    <t>Statsministeriet, Departementet</t>
  </si>
  <si>
    <t>Struer Statsgymnasium</t>
  </si>
  <si>
    <t>Sundhedsstyrelsen</t>
  </si>
  <si>
    <t>Sundhedsvæsenets Patientklagenævn</t>
  </si>
  <si>
    <t>Sø- og Handelsretten</t>
  </si>
  <si>
    <t>Tornbjerg Gymnasium</t>
  </si>
  <si>
    <t>Transportministeriet</t>
  </si>
  <si>
    <t>TronsøSkolen</t>
  </si>
  <si>
    <t>UNI-C, Danmarks edb-center for uddannelse og forskning</t>
  </si>
  <si>
    <t>Varde Gymnasium og HF kursus</t>
  </si>
  <si>
    <t>Vejen Handelsskole Bik</t>
  </si>
  <si>
    <t>Vestfyns Gymnasium</t>
  </si>
  <si>
    <t>Viborg Gymnasium og HF</t>
  </si>
  <si>
    <t>VUC Holstebro-Lemvig-Struer</t>
  </si>
  <si>
    <t>VUC Thy-Mors</t>
  </si>
  <si>
    <t>VUC-Vestsjælland Syd</t>
  </si>
  <si>
    <t>Vækstfonden</t>
  </si>
  <si>
    <t>Århus statsgymnasium</t>
  </si>
  <si>
    <t>Det Jordbrugsvidenskabelige Fakultet</t>
  </si>
  <si>
    <t>Statsforvaltningen Sjælland</t>
  </si>
  <si>
    <t>Ministeriet for Forskning Innovation og Videregående Ud- dannelser</t>
  </si>
  <si>
    <t>Beskæftigelsesindsats i statslige Jobcentre</t>
  </si>
  <si>
    <t>Voksen Uddannelsescenter Frederiksberg (VUF)</t>
  </si>
  <si>
    <t>Kunstakademiets Billedkunstskoler</t>
  </si>
  <si>
    <t>Birkerød Gymnasium, HF, IB &amp; Kostskole</t>
  </si>
  <si>
    <t>Munkensdam Gymnasium</t>
  </si>
  <si>
    <t>Kalundborg Gymnasium og HF</t>
  </si>
  <si>
    <t>SOSU C Brøndby, Gladsaxe, Herlev</t>
  </si>
  <si>
    <t>Skanderborg Gymnasium</t>
  </si>
  <si>
    <t>Herning HF og VUC</t>
  </si>
  <si>
    <t>UddannelsesCenter Ringkøbing-Skjern</t>
  </si>
  <si>
    <t>Erhvervsakademi SydVest</t>
  </si>
  <si>
    <t>Egå Gymnasium</t>
  </si>
  <si>
    <t>Høje-Taastrup Gymnasium</t>
  </si>
  <si>
    <t>Kjærgård Landbrugsskole</t>
  </si>
  <si>
    <t>Kartoffelafgiftsfonden</t>
  </si>
  <si>
    <t>Region Hovedstadens Psykiatri-Løn</t>
  </si>
  <si>
    <t>Kara / Noveren I/S</t>
  </si>
  <si>
    <t>ASSENS SPILDEVAND A/S</t>
  </si>
  <si>
    <t>AARHUS VAND A/S</t>
  </si>
  <si>
    <t>SK ELNET A/S</t>
  </si>
  <si>
    <t>SK VAND A/S</t>
  </si>
  <si>
    <t>SK SERVICE A/S</t>
  </si>
  <si>
    <t>Gartneribrugets Afsætningsudvalg</t>
  </si>
  <si>
    <t>RUDERSDAL FORSYNING A/S</t>
  </si>
  <si>
    <t>HØRSHOLM VAND ApS</t>
  </si>
  <si>
    <t>RINGKØBING-SKJERN FORSYNING A/S</t>
  </si>
  <si>
    <t>Affaldsselskabet Vendsyssel Vest I/S</t>
  </si>
  <si>
    <t>HILLERØD AFFALDSHÅNDTERING A/S</t>
  </si>
  <si>
    <t>THISTED DRIKKEVAND A/S</t>
  </si>
  <si>
    <t>VESTHIMMERLANDS VAND A/S</t>
  </si>
  <si>
    <t>I/S Vestforbrænding</t>
  </si>
  <si>
    <t>ODDER SPILDEVAND A/S</t>
  </si>
  <si>
    <t>ODENSE RENOVATION A/S</t>
  </si>
  <si>
    <t>NVRaffald I/S</t>
  </si>
  <si>
    <t>Østdeponi</t>
  </si>
  <si>
    <t>SILKEBORG FORSYNING A/S</t>
  </si>
  <si>
    <t>TØNDER FORSYNING A/S</t>
  </si>
  <si>
    <t>SØNDERBORG FORSYNING HOLDING A/S</t>
  </si>
  <si>
    <t>HALSNÆS FORSYNING A/S</t>
  </si>
  <si>
    <t>VEJLE SPILDEVAND A/S</t>
  </si>
  <si>
    <t>VESTFORSYNING A/S</t>
  </si>
  <si>
    <t>Energi Viborg A/S</t>
  </si>
  <si>
    <t>Det Nationale Forskningscenter for Arbejdsmiljø</t>
  </si>
  <si>
    <t>Maritim A-Kasse</t>
  </si>
  <si>
    <t>EUC - Ringsted Erhvervsuddannelsescenter</t>
  </si>
  <si>
    <t>Danmarks Kunstbibliotek</t>
  </si>
  <si>
    <t>Landbrug &amp; Fødevarer</t>
  </si>
  <si>
    <t>AMU CENTER MIDTJYLLAND ApS</t>
  </si>
  <si>
    <t>HOFOR A/S</t>
  </si>
  <si>
    <t>Aarhus Katedralskole</t>
  </si>
  <si>
    <t>Syddansk Musikkonservatorium og Skuespillerskole</t>
  </si>
  <si>
    <t>Økonomi- og Indenrigsministeriet</t>
  </si>
  <si>
    <t>Den Jydske Håndværkerskole</t>
  </si>
  <si>
    <t>Statens Museum for Kunst</t>
  </si>
  <si>
    <t>Ministeriet for By, Bolig og Landdistrikter</t>
  </si>
  <si>
    <t>Styrelsen for Slotte og Kultur- ejendomme</t>
  </si>
  <si>
    <t>Den Hirschsprungske Samling</t>
  </si>
  <si>
    <t>ASSENS AFFALD &amp; GENBRUG A/S</t>
  </si>
  <si>
    <t>I/S AffaldPlus</t>
  </si>
  <si>
    <t>Udbetaling Danmark – Kommunal og Underholdsbidrag??</t>
  </si>
  <si>
    <t>SYDDJURS SPILDEVAND A/S</t>
  </si>
  <si>
    <t>SKAT (ID1781)</t>
  </si>
  <si>
    <t>Adventure Efterskolen</t>
  </si>
  <si>
    <t>Allerød Gymnasium</t>
  </si>
  <si>
    <t>Askov Højskole</t>
  </si>
  <si>
    <t>Frederikshavn Handelsskole</t>
  </si>
  <si>
    <t>Gefion Gymnasium</t>
  </si>
  <si>
    <t>Herning Gymnasium</t>
  </si>
  <si>
    <t>Kongsholm Gymnasium &amp; HF</t>
  </si>
  <si>
    <t>Københavns Voksen Uddannelses Center</t>
  </si>
  <si>
    <t>Langkaer Gymnasium, STX,HK og IB World School</t>
  </si>
  <si>
    <t>LEJRE FORSYNING SERVICE A/S</t>
  </si>
  <si>
    <t>LEJRE SPILDEVAND A/S</t>
  </si>
  <si>
    <t>University College Capital</t>
  </si>
  <si>
    <t>Rosborg Gymnasium og HF</t>
  </si>
  <si>
    <t>Slagelse Gymnasium</t>
  </si>
  <si>
    <t>Th.Langs HF &amp; VUC</t>
  </si>
  <si>
    <t>Vejen Gymnasium og HF</t>
  </si>
  <si>
    <t>VUC Vestegnen</t>
  </si>
  <si>
    <t>Esbjerg Havn</t>
  </si>
  <si>
    <t>DANSKE FÆRGER A/S</t>
  </si>
  <si>
    <t>FORSYNINGEN ALLERØD RUDERSDAL A/S</t>
  </si>
  <si>
    <t>SOSU Sjælland</t>
  </si>
  <si>
    <t>Ktd Ejendomsselskab ApS</t>
  </si>
  <si>
    <t>Vejen kommune (forsyning)</t>
  </si>
  <si>
    <t>Danmarks Meteorologiske Institut</t>
  </si>
  <si>
    <t>Fødevareforbundet NNFs a-kasse</t>
  </si>
  <si>
    <t>HORSENS VAND A/S EFI</t>
  </si>
  <si>
    <t>FREDERIKSBERG FORSYNING A/S (EFI)</t>
  </si>
  <si>
    <t>Albertslund Kommune EFI</t>
  </si>
  <si>
    <t>Statens Administration (EFI) Statsgaranterede studielån</t>
  </si>
  <si>
    <t>JAMMERBUGT FORSYNING A/S (EFI)</t>
  </si>
  <si>
    <t>NKE-ELNET A/S</t>
  </si>
  <si>
    <t>NK-SPILDEVAND A/S</t>
  </si>
  <si>
    <t>FORSYNING HELSINGØR SERVICE A/S</t>
  </si>
  <si>
    <t>Erhvervsakademi Midtvest</t>
  </si>
  <si>
    <t>FURESØ SPILDEVAND A/S</t>
  </si>
  <si>
    <t>VANDCENTER SYD A/S</t>
  </si>
  <si>
    <t>FJERNVARME FYN A/S</t>
  </si>
  <si>
    <t>Politiet i Grønland</t>
  </si>
  <si>
    <t>Politiet i Færøerne</t>
  </si>
  <si>
    <t>Retsregistercentralen</t>
  </si>
  <si>
    <t>Styrelsen for Universiteter og Internationalisering</t>
  </si>
  <si>
    <t>Statens Innkrevningssentral</t>
  </si>
  <si>
    <t>Kronofogedmyndigheten</t>
  </si>
  <si>
    <t>Statens Administration (EFI) Forsikringsordning/modreg fiskeri lån</t>
  </si>
  <si>
    <t>RANDERS SPILDEVAND A/S (EFI)</t>
  </si>
  <si>
    <t>KOLDING SPILDEVAND A/S (EFI)</t>
  </si>
  <si>
    <t>SK SERVICE A/S (EFI)</t>
  </si>
  <si>
    <t>MIDDELFART SPILDEVAND A/S (EFI)</t>
  </si>
  <si>
    <t>LYNGBY-TAARBÆK FORSYNING A/S (EFI)</t>
  </si>
  <si>
    <t>MARIAGERFJORD VAND A/S (EFI)</t>
  </si>
  <si>
    <t>STEVNS KOMMUNE HOLDING A/S (EFI)</t>
  </si>
  <si>
    <t>KØGE SERVICE A/S (EFI)</t>
  </si>
  <si>
    <t>FREDERIKSHAVN FORSYNING A/S (EFI)</t>
  </si>
  <si>
    <t>Borupgaard Gymnasium</t>
  </si>
  <si>
    <t>Frederikssund Gymnasium</t>
  </si>
  <si>
    <t>Hoptrup Efterskole</t>
  </si>
  <si>
    <t>Kongeådalens Efterskole</t>
  </si>
  <si>
    <t>Løgumkloster Efterskole</t>
  </si>
  <si>
    <t>Rønde Gymnasium</t>
  </si>
  <si>
    <t>Skårup Husholdning- Håndarbejds- og Sundhedsskole</t>
  </si>
  <si>
    <t>Social- &amp; Sundhedsskolen Skive-Thisted-Viborg</t>
  </si>
  <si>
    <t>Svendborg Gymnasium &amp; HF</t>
  </si>
  <si>
    <t>Vesthimmerlands Gymnasium og HF</t>
  </si>
  <si>
    <t>VUC Århus</t>
  </si>
  <si>
    <t>Energistyrelsen</t>
  </si>
  <si>
    <t>Hovvejskollegiet</t>
  </si>
  <si>
    <t>Fyns Statsamt</t>
  </si>
  <si>
    <t>International Pension og Social Si</t>
  </si>
  <si>
    <t>SOLRØD SPILDEVAND A/S</t>
  </si>
  <si>
    <t>Digitaliseringsstyrelsen</t>
  </si>
  <si>
    <t>Haderslev Handelsskole</t>
  </si>
  <si>
    <t>Erhvervsakademi Dania</t>
  </si>
  <si>
    <t>Mariagerfjord Gymnasium</t>
  </si>
  <si>
    <t>Midtsjællands Gymnasieskoler</t>
  </si>
  <si>
    <t>Statens Scenekunstskole</t>
  </si>
  <si>
    <t>NK-SERVICE A/S (EFI)</t>
  </si>
  <si>
    <t>Energi Viborg A/S (EFI)</t>
  </si>
  <si>
    <t>Kara / Noveren I/S (EFI)</t>
  </si>
  <si>
    <t>FFV ENERGI &amp; MILJØ A/S (EFI)</t>
  </si>
  <si>
    <t>FORSYNING HELSINGØR SERVICE A/S (EFI)</t>
  </si>
  <si>
    <t>Egedal kommune(EFI)</t>
  </si>
  <si>
    <t>Funktionærernes og servicefagenes Arblhk Understøt</t>
  </si>
  <si>
    <t>SKAT (ID2076)</t>
  </si>
  <si>
    <t>Syslumaourinn a Blonduos</t>
  </si>
  <si>
    <t>Statens Innkrevningscentral</t>
  </si>
  <si>
    <t>SKANDERBORG FORSYNINGSVIRKSOMHED A/S (EFI)</t>
  </si>
  <si>
    <t>HOFOR Vand og Spildevand Brøndby (EFI)</t>
  </si>
  <si>
    <t>HOFOR Vand og Spildevand (EFI) Vallensbæk</t>
  </si>
  <si>
    <t>HOFOR Vand og Spildevand Hvidovre (EFI)</t>
  </si>
  <si>
    <t>HOFOR Vand og Spildevand (EFI) Albertslund</t>
  </si>
  <si>
    <t>HOFOR Vand og Spildevand Dragør (EFI)</t>
  </si>
  <si>
    <t>HERLEV FORSYNING A/S/HOFOR A/S/EFI</t>
  </si>
  <si>
    <t>Kronefogedmyndigheden Göteborg</t>
  </si>
  <si>
    <t>Zaktad Ubezpieczen Oddzial w. Szweunie</t>
  </si>
  <si>
    <t>Recettes de Woluwe</t>
  </si>
  <si>
    <t>VMI Nepriemoky</t>
  </si>
  <si>
    <t>DVKA Oldenburgischer Landesbank</t>
  </si>
  <si>
    <t>Tullstyrelsen Finland</t>
  </si>
  <si>
    <t>Skatt Vest</t>
  </si>
  <si>
    <t>Tollstjorinn i Reykjavik</t>
  </si>
  <si>
    <t>Unidad de Recaudacion</t>
  </si>
  <si>
    <t>Local Tx Office Kifisla</t>
  </si>
  <si>
    <t>Kronfogedmyndigheten Stockholm</t>
  </si>
  <si>
    <t>Skattestyrelsens Centrale Inddrivelsesenhed</t>
  </si>
  <si>
    <t>TAKS</t>
  </si>
  <si>
    <t>Trésorerie Générale</t>
  </si>
  <si>
    <t>DVKA Berliner Volksbank Potsdam</t>
  </si>
  <si>
    <t>Taurages apskrities Valstybine</t>
  </si>
  <si>
    <t>Tullverket</t>
  </si>
  <si>
    <t>Account Office Shipley</t>
  </si>
  <si>
    <t>DVKA Spitzenverband</t>
  </si>
  <si>
    <t>Deutsche Rentenversicherung</t>
  </si>
  <si>
    <t>Belastingsdienst Apeldoom</t>
  </si>
  <si>
    <t>Techniker Krankenkasse</t>
  </si>
  <si>
    <t>Auderghem</t>
  </si>
  <si>
    <t>BAHN-BKK</t>
  </si>
  <si>
    <t>Toll- og Avgiftsdirektoratet</t>
  </si>
  <si>
    <t>Bundesagentur für Arbeit Niedersachsen-Bremen</t>
  </si>
  <si>
    <t>DVKA Securvita Krankenkasse Hamburg</t>
  </si>
  <si>
    <t>Sydvästra Finland</t>
  </si>
  <si>
    <t>Finanzamt Steglitz</t>
  </si>
  <si>
    <t>AOK Plus für Sachsen und Thüringen</t>
  </si>
  <si>
    <t>State Tax Inspectora</t>
  </si>
  <si>
    <t>Stadt Neumünster</t>
  </si>
  <si>
    <t>Stadt Køln</t>
  </si>
  <si>
    <t>Stadt Flensburg</t>
  </si>
  <si>
    <t>Sr. Presidente Inter</t>
  </si>
  <si>
    <t>Sorenskriveren</t>
  </si>
  <si>
    <t>Finanzamt Schwerin</t>
  </si>
  <si>
    <t>Finanzamt Schleswig</t>
  </si>
  <si>
    <t>Finanzamt Salzwedel</t>
  </si>
  <si>
    <t>Finanzamt Ribnitz-Damgarten</t>
  </si>
  <si>
    <t>Racette Bruxelles 5</t>
  </si>
  <si>
    <t>Finanzamt Potsdam</t>
  </si>
  <si>
    <t>Finanzamt Papenburg</t>
  </si>
  <si>
    <t>Ontvangkantoor Tervuren</t>
  </si>
  <si>
    <t>Office International Legal Protec</t>
  </si>
  <si>
    <t>Recette Bruges 4</t>
  </si>
  <si>
    <t>Office of the Collector</t>
  </si>
  <si>
    <t>Oberlandesgericht</t>
  </si>
  <si>
    <t>Recette Bruxelles 2</t>
  </si>
  <si>
    <t>Finanzamt Nürtingen</t>
  </si>
  <si>
    <t>Finanzamt Nordfriesland</t>
  </si>
  <si>
    <t>Bruxelles 1</t>
  </si>
  <si>
    <t>Finanzamt Neuss</t>
  </si>
  <si>
    <t>Bruxelles 1 recette</t>
  </si>
  <si>
    <t>Finanzamt Neubrandenburg</t>
  </si>
  <si>
    <t>BTW-ontvangsten Mech</t>
  </si>
  <si>
    <t>Bundesministerium</t>
  </si>
  <si>
    <t>Recette Namur Etranger</t>
  </si>
  <si>
    <t>DVKA Erfurt</t>
  </si>
  <si>
    <t>Ministry of Finance</t>
  </si>
  <si>
    <t>DVKA Dortmund</t>
  </si>
  <si>
    <t>Kronofogdemyndigheten Malmø</t>
  </si>
  <si>
    <t>DVKA Spitzenverband-Hessen-Thüringen</t>
  </si>
  <si>
    <t>Finanzamt Lückenwalde</t>
  </si>
  <si>
    <t>Ontvangkantoor Lennik</t>
  </si>
  <si>
    <t>Finanzamt Leck</t>
  </si>
  <si>
    <t>Landeshauptstadt München</t>
  </si>
  <si>
    <t>Deutsche Rentenversicherung Berlin</t>
  </si>
  <si>
    <t>SEB AG Frankfurt</t>
  </si>
  <si>
    <t>AOK Rheinland/Hamburg</t>
  </si>
  <si>
    <t>Finanzamt Itzehoe</t>
  </si>
  <si>
    <t>Internal Revnue USA Department of The Treasur</t>
  </si>
  <si>
    <t>Hauptzollamt Regensburg</t>
  </si>
  <si>
    <t>AOK Sachsen-Anhal</t>
  </si>
  <si>
    <t>Hauptzollamt Potsdam</t>
  </si>
  <si>
    <t>Hauptzollamt Kiel</t>
  </si>
  <si>
    <t>Hauptzollamt Dresden</t>
  </si>
  <si>
    <t>Nemzeti</t>
  </si>
  <si>
    <t>HMRC VAT</t>
  </si>
  <si>
    <t>HMRC Shipley</t>
  </si>
  <si>
    <t>HM Customs &amp; Excise</t>
  </si>
  <si>
    <t>Finanzamt Hamburg-Wandsbeck</t>
  </si>
  <si>
    <t>Deutsche BKK</t>
  </si>
  <si>
    <t>Finanzamt Gera</t>
  </si>
  <si>
    <t>Freie und Hansestadt Hamburg</t>
  </si>
  <si>
    <t>Finanzamt Flensburg</t>
  </si>
  <si>
    <t>Finanzamt Wiedenbrück</t>
  </si>
  <si>
    <t>Finanzamt Warburg</t>
  </si>
  <si>
    <t>Finanzamt Ulm</t>
  </si>
  <si>
    <t>Finanzamt Tübingen</t>
  </si>
  <si>
    <t>Finanzamt Trittau/ Finanzamt Storman</t>
  </si>
  <si>
    <t>Finanzamt Syke</t>
  </si>
  <si>
    <t>Finanzamt Strausberg</t>
  </si>
  <si>
    <t>Bundesagentur für Arbeit</t>
  </si>
  <si>
    <t>Finanzamt Detmold</t>
  </si>
  <si>
    <t>Finanzamt Stade</t>
  </si>
  <si>
    <t>Finanzamt Rendsburg</t>
  </si>
  <si>
    <t>Innunungskrankenkasse Nord</t>
  </si>
  <si>
    <t>Finanzamt Prenzlauer Berg</t>
  </si>
  <si>
    <t>Finanzamt Pinneberg</t>
  </si>
  <si>
    <t>Dir des Contibutions</t>
  </si>
  <si>
    <t>Finanzamt München</t>
  </si>
  <si>
    <t>Finanzamt Magdeburg</t>
  </si>
  <si>
    <t>Finanzamt Lüneburg</t>
  </si>
  <si>
    <t>Finanzamt Bad Bentheim</t>
  </si>
  <si>
    <t>Finanzamt Lübeck</t>
  </si>
  <si>
    <t>Finanzamt Kiel-Nord</t>
  </si>
  <si>
    <t>Finanzamt Kassel-Goethesstrasse</t>
  </si>
  <si>
    <t>Finanzamt Holzminden</t>
  </si>
  <si>
    <t>Finanzamt Hersbruck</t>
  </si>
  <si>
    <t>Finanzamt Heilbronn</t>
  </si>
  <si>
    <t>Finanzamt Bremen-Mitte</t>
  </si>
  <si>
    <t>Finanzamt Heidelberg</t>
  </si>
  <si>
    <t>Finanzamt Dithmarschen</t>
  </si>
  <si>
    <t>Finanzamt Hamburg-Nord</t>
  </si>
  <si>
    <t>Finanzamt Hamburg Barmbek-Uhlenhorst</t>
  </si>
  <si>
    <t>Finanzamt Hamburg-Hansa</t>
  </si>
  <si>
    <t>Finanzamt Hagenow</t>
  </si>
  <si>
    <t>Finanzamt Görlitz</t>
  </si>
  <si>
    <t>Finanzamt Erding</t>
  </si>
  <si>
    <t>Finanzamt Elmshorn</t>
  </si>
  <si>
    <t>Finanzamt Eckernförde-Schleswig</t>
  </si>
  <si>
    <t>Finanzamt Dortmund-Unna</t>
  </si>
  <si>
    <t>Finanzamt Düren</t>
  </si>
  <si>
    <t>Finanzamt Düsseldorf-Mitte</t>
  </si>
  <si>
    <t>LEMVIG VAND OG SPILDEVAND A/S-adm.EFI</t>
  </si>
  <si>
    <t>ADVOKATAKTIESELSKABET EGEPARKEN</t>
  </si>
  <si>
    <t>GE MONEY BANK,FILIAL AF GE MONEY BANK AB SVERIGE</t>
  </si>
  <si>
    <t>Intrum Justitia A/S</t>
  </si>
  <si>
    <t>ADVIS A/S</t>
  </si>
  <si>
    <t>DANSK KREDITORSERVICE A/S</t>
  </si>
  <si>
    <t>EKSPRES BANK A/S</t>
  </si>
  <si>
    <t>SVEA INKASSO A/S</t>
  </si>
  <si>
    <t>IKANO BANK, FILIAL AF IKANO BANK AB (PUBL), SVERIGE</t>
  </si>
  <si>
    <t>LINDORFF DANMARK A/S</t>
  </si>
  <si>
    <t>TRANSCOM CREDIT MANAGEMENT SERVICES A/S</t>
  </si>
  <si>
    <t>MULTI FINANS ApS</t>
  </si>
  <si>
    <t>Advokatfirmaet Janne Rytzou ApS</t>
  </si>
  <si>
    <t>Veko Vesterbros Konto-Ring Amba</t>
  </si>
  <si>
    <t>LINDORFF A/S</t>
  </si>
  <si>
    <t>DELACOUR ADVOKATKOMMANDITAKTIESELSKAB</t>
  </si>
  <si>
    <t>NINK A/S</t>
  </si>
  <si>
    <t>ARGUS ADVOKATER ApS</t>
  </si>
  <si>
    <t>Dansk Advokat Inkasso af 1/8 1999 ApS</t>
  </si>
  <si>
    <t>MULTI FINANS INVEST 2 ApS</t>
  </si>
  <si>
    <t>DKS SIKRING OG EFTERFORSKNINGSSERVICE ApS</t>
  </si>
  <si>
    <t>Rederiet A P Møller A/S</t>
  </si>
  <si>
    <t>Adv. Henrik Rosenvinge Skov</t>
  </si>
  <si>
    <t>NORDIC DEBT COLLECTION A/S</t>
  </si>
  <si>
    <t>Advokatkontoret Anet Blidt ApS</t>
  </si>
  <si>
    <t>Ret &amp; Råd Sundhuset I/S</t>
  </si>
  <si>
    <t>NORDEA BANK DANMARK A/S</t>
  </si>
  <si>
    <t>Ladegaard, Rasmussen &amp; Partnere I/S</t>
  </si>
  <si>
    <t>Ringkjøbing Landbobank A/S</t>
  </si>
  <si>
    <t>Købmandstandens Inkasso Service A/S</t>
  </si>
  <si>
    <t>Advodan Thisted I/S</t>
  </si>
  <si>
    <t>Dronninglund Sparekasse</t>
  </si>
  <si>
    <t>Mortang Advokater</t>
  </si>
  <si>
    <t>A/S Dansk Shell/Eksportvirksomhed</t>
  </si>
  <si>
    <t>Jyske Bank A/S</t>
  </si>
  <si>
    <t>DEINTERNATIONAL DENMARK ApS</t>
  </si>
  <si>
    <t>Holst, Advokater</t>
  </si>
  <si>
    <t>Danske Andelskassers Bank A/S</t>
  </si>
  <si>
    <t>VESTJYSK BANK A/S</t>
  </si>
  <si>
    <t>SVEJGAARD GALST QWIST ADVOKATAKTIESELSKAB</t>
  </si>
  <si>
    <t>Funch &amp; Nielsen Advokater</t>
  </si>
  <si>
    <t>ALEKTUM INKASSO A/S</t>
  </si>
  <si>
    <t>BDO STATSAUTORISERET REVISIONSAKTIESELSKAB</t>
  </si>
  <si>
    <t>ADVOKATHUSET A/S RESENVEJ 83</t>
  </si>
  <si>
    <t>DANSK KREDITORSERVICE &amp; KONSULENTTJENESTE ApS</t>
  </si>
  <si>
    <t>DANSKE BANK A/S</t>
  </si>
  <si>
    <t>Den Jyske Sparekasse</t>
  </si>
  <si>
    <t>ADVOKATAKTIESELSKABET DAHL, HERNING</t>
  </si>
  <si>
    <t>Advokatfa. Kiilerich Hansen &amp; Dreyer I/S v/E Dreyer/L Nauheimer</t>
  </si>
  <si>
    <t>ADVOKATPARTNERSELSKABET BJERRE OUTZING OG KJÆR</t>
  </si>
  <si>
    <t>SPAREKASSEN VENDSYSSEL</t>
  </si>
  <si>
    <t>Spar Nord Bank A/S</t>
  </si>
  <si>
    <t>ADVOKATFIRMAET RET &amp; RÅD FYN A/S</t>
  </si>
  <si>
    <t>ADVODAN Lolland-Falster</t>
  </si>
  <si>
    <t>Buch &amp; Baruah I/S</t>
  </si>
  <si>
    <t>CFN INVEST ApS</t>
  </si>
  <si>
    <t>Skatteministeriet Departementet</t>
  </si>
  <si>
    <t>HOFOR Vand og Spildevand Rødovre (EFI)</t>
  </si>
  <si>
    <t>NK-VAND A/S</t>
  </si>
  <si>
    <t>HILLERØD FORSYNING HOLDING A/S (EFI)</t>
  </si>
  <si>
    <t>Ølgod Ungdomsskole</t>
  </si>
  <si>
    <t>København åbne Gymnasium</t>
  </si>
  <si>
    <t>Advokatfirmaet Collectia I/S</t>
  </si>
  <si>
    <t>Alssundgymnasiet Sønderborg</t>
  </si>
  <si>
    <t>Erhvervs- og Vækstministeriet Departementet</t>
  </si>
  <si>
    <t>Ankenævn for biler - bilklage.dk</t>
  </si>
  <si>
    <t>Vestfyns Handelsskole og Handelsgymnasium</t>
  </si>
  <si>
    <t>Varde Handelsskole og Handels- Gymnasium</t>
  </si>
  <si>
    <t>Styrelsen for Videregående Uddannelser</t>
  </si>
  <si>
    <t>Erhvervsakademi Kolding</t>
  </si>
  <si>
    <t>Dansk Ejendomsmæglerforening</t>
  </si>
  <si>
    <t>Statens Værksteder for Kunst</t>
  </si>
  <si>
    <t>Design- &amp; Idrætsefterskolen Skamling</t>
  </si>
  <si>
    <t>Nordborg Slots Efterskole</t>
  </si>
  <si>
    <t>Rejsby Europæiske Efterskole</t>
  </si>
  <si>
    <t>Sýslumadurinn á Blönduósi , Indkrævningscentr</t>
  </si>
  <si>
    <t>ODSHERRED VARME A/S</t>
  </si>
  <si>
    <t>Institut for Menneskerettigheder -Danmarks Nationale Menneskerettighedsinstitution</t>
  </si>
  <si>
    <t>Aarhus Kommune - Midttrafik - EFI</t>
  </si>
  <si>
    <t>Caisse Suisse de Compensation</t>
  </si>
  <si>
    <t>Ministeriet for Børn og Undervisning VEU (MBU)</t>
  </si>
  <si>
    <t>SKAT (ID-SAP38)</t>
  </si>
  <si>
    <t>Tax Administration the Republic of Slovenia</t>
  </si>
  <si>
    <t>Københavns Politi - EFI</t>
  </si>
  <si>
    <t>Midt- og Vestjyllands Politi - EFI</t>
  </si>
  <si>
    <t>Nordjyllands Politi - EFI</t>
  </si>
  <si>
    <t>Nordsjællands Politi - EFI</t>
  </si>
  <si>
    <t>Syd og Sønderjyllands Politi - EFI</t>
  </si>
  <si>
    <t>Sydsjælland og Lolland-Falsters Politi - EFI</t>
  </si>
  <si>
    <t>Sydøstjylland Politi - EFI</t>
  </si>
  <si>
    <t>Østjylland Politi - EFI</t>
  </si>
  <si>
    <t>Fyens Politi - EFI</t>
  </si>
  <si>
    <t>Bornholms Politi - EFI</t>
  </si>
  <si>
    <t>Feriehusudlejernes Brancheforening</t>
  </si>
  <si>
    <t>General Financial Directorate</t>
  </si>
  <si>
    <t>KORA, Det Nationale Institut for Kommuners og Regioners Analyse og Forskning</t>
  </si>
  <si>
    <t>Renosyd I/S</t>
  </si>
  <si>
    <t>Feltengård I/S</t>
  </si>
  <si>
    <t>Kronofogdemyndigheten Sundbyberg</t>
  </si>
  <si>
    <t>Social &amp; SundhedsSkolen, Herning</t>
  </si>
  <si>
    <t>Kronofogdemyndigheten Göteborg</t>
  </si>
  <si>
    <t>DSB S-tog A/S Civilretslige krav</t>
  </si>
  <si>
    <t>Skanderup Efterskole</t>
  </si>
  <si>
    <t>Horsens HF &amp; VUC</t>
  </si>
  <si>
    <t>Rejsegarantifonden</t>
  </si>
  <si>
    <t>Amu-Fyn</t>
  </si>
  <si>
    <t>Lunderskov Efterskole</t>
  </si>
  <si>
    <t>Ribe Katedralskole</t>
  </si>
  <si>
    <t>Den Fri Hestehaveskole</t>
  </si>
  <si>
    <t>Tax and Customs Board</t>
  </si>
  <si>
    <t>Ærø Efterskole</t>
  </si>
  <si>
    <t>Idrætsefterskolen Klintsøgaard</t>
  </si>
  <si>
    <t>Tolne Efterskole</t>
  </si>
  <si>
    <t>Stubbekøbing Efterskole, Luthersk Missionsforenings Efterskole</t>
  </si>
  <si>
    <t>Efterskolen Helle</t>
  </si>
  <si>
    <t>Galtrup Musik- og Idrætsefterskole</t>
  </si>
  <si>
    <t>Gribskov Efterskole</t>
  </si>
  <si>
    <t>Efterskolen Lindenborg</t>
  </si>
  <si>
    <t>Faaborgegnens Efterskole</t>
  </si>
  <si>
    <t>Bjerre Gymnastik- og Idrætsefterskole Akademiet</t>
  </si>
  <si>
    <t>Sundeved Efterskole</t>
  </si>
  <si>
    <t>Pinsevækkelsens Efterskole Frydensberg</t>
  </si>
  <si>
    <t>Dansk Institut for Internationale Studier (DIIS)</t>
  </si>
  <si>
    <t>Movia - Rejsekort - EFI</t>
  </si>
  <si>
    <t>Movia - debitor - EFI</t>
  </si>
  <si>
    <t>Skals Efterskole</t>
  </si>
  <si>
    <t>Efterskolen ved Nyborg</t>
  </si>
  <si>
    <t>Bråskovgård Efterskole Selvej Inst</t>
  </si>
  <si>
    <t>Danmarks Akkrediteringsinstitution</t>
  </si>
  <si>
    <t>VUC Djursland</t>
  </si>
  <si>
    <t>Gram Efterskole</t>
  </si>
  <si>
    <t>HERNING VAND HOLDING A/S</t>
  </si>
  <si>
    <t>Finanzamt Hannover-Nord</t>
  </si>
  <si>
    <t>Dronninglund Efterskole</t>
  </si>
  <si>
    <t>Danmarks Evalueringsinstitut</t>
  </si>
  <si>
    <t>Bork Havn Efterskole</t>
  </si>
  <si>
    <t>Lundby Efterskole</t>
  </si>
  <si>
    <t>Ollerup Efterskole Sang og Musik</t>
  </si>
  <si>
    <t>Den Selvejende Institution Skolerne i Oure - Sport &amp; Performance</t>
  </si>
  <si>
    <t>Silkeborg Efterskole</t>
  </si>
  <si>
    <t>Ulstrup Efterskole</t>
  </si>
  <si>
    <t>Teleankenævnet</t>
  </si>
  <si>
    <t>Finanzamt St. Veit Wolfsberg</t>
  </si>
  <si>
    <t>Finanzamt Kyritz</t>
  </si>
  <si>
    <t>Belastingdienst Doetinchem</t>
  </si>
  <si>
    <t>Belastingsdienst Hoofddorp</t>
  </si>
  <si>
    <t>Naczelnik Urzedu Skarbowego W Busko-Zdroju</t>
  </si>
  <si>
    <t>Taks</t>
  </si>
  <si>
    <t>Brændstrup Kristne Friskole</t>
  </si>
  <si>
    <t>Modtagestation Vendsyssel I/S</t>
  </si>
  <si>
    <t>Rødovre Kommunale Fjernvarmeforsyning</t>
  </si>
  <si>
    <t>PENTA ADVOKATER A/S</t>
  </si>
  <si>
    <t>Mariager Høj- &amp; Efterskole</t>
  </si>
  <si>
    <t>Den Selvejende Institution Aarhus Efterskole</t>
  </si>
  <si>
    <t>Århus Stift</t>
  </si>
  <si>
    <t>Erhvervsuddannelser indenfor Sundhed-Omsorg og Pædagogik i København og Hillerød</t>
  </si>
  <si>
    <t>Østerskov Efterskole</t>
  </si>
  <si>
    <t>EGEDAL FJERNVARME A/S</t>
  </si>
  <si>
    <t>Rudehøj Efterskole</t>
  </si>
  <si>
    <t>True North Efterskole Snaptun</t>
  </si>
  <si>
    <t>Nord-Samsø Efterskole</t>
  </si>
  <si>
    <t>Thorsgård Efterskole</t>
  </si>
  <si>
    <t>Region Hovedstaden Den Sociale Virksomhed</t>
  </si>
  <si>
    <t>Musikefterskolen i Humble</t>
  </si>
  <si>
    <t>Haarby Efterskole</t>
  </si>
  <si>
    <t>Samsø Efterskole</t>
  </si>
  <si>
    <t>Region Hovedstaden Region Hovedstadens Psykiatri</t>
  </si>
  <si>
    <t>Efterskolen for Scenekunst</t>
  </si>
  <si>
    <t>ADVOKAT LISBETH PEDERSEN ApS</t>
  </si>
  <si>
    <t>Nordvestjysk Erhvervsrådgivning v/Ole Skifter</t>
  </si>
  <si>
    <t>Revisionsselskabet Mougaard Registrerede Revisorer ApS</t>
  </si>
  <si>
    <t>JYSKE FINANS A/S</t>
  </si>
  <si>
    <t>NORDLAND REVISION-NORDLAND REGISTREREDE REVISORER ApS</t>
  </si>
  <si>
    <t>Revisionsfirmaet v/Rene R. Andersen</t>
  </si>
  <si>
    <t>Fredericia Gymnasium</t>
  </si>
  <si>
    <t>Tønder Gymnasium</t>
  </si>
  <si>
    <t>A/S Arbejdernes Landsbank</t>
  </si>
  <si>
    <t>LANDBOTHY</t>
  </si>
  <si>
    <t>VESTFORSYNING SPILDEVAND A/S</t>
  </si>
  <si>
    <t>Vestjysk Landboforening</t>
  </si>
  <si>
    <t>Advokatfirmaet Børge Nielsen</t>
  </si>
  <si>
    <t>Advokatfirmaet Højbjerg Jensen Vogel &amp; Gammelby</t>
  </si>
  <si>
    <t>ADVOKATERNE I JYLLANDSGÅRDEN A/S</t>
  </si>
  <si>
    <t>FAABORG FINANS A/S</t>
  </si>
  <si>
    <t>LandboNord</t>
  </si>
  <si>
    <t>Vivild Gymnastik- &amp; Idrætsefterskole</t>
  </si>
  <si>
    <t>Kolding Herreds Landbrugsforening</t>
  </si>
  <si>
    <t>Agri Nord</t>
  </si>
  <si>
    <t>Rådgivningscenter Nord</t>
  </si>
  <si>
    <t>REVISOR-TEAM REGISTRERET REVISIONSPARTNERSELSKAB</t>
  </si>
  <si>
    <t>Advokatfirmaet Kjeld Klausen, Thomas Hess-Petersen og Lars Skjødt Jensen</t>
  </si>
  <si>
    <t>BONNESEN ADVOKATER I/S</t>
  </si>
  <si>
    <t>COPENHAGEN METRO TEAM I/S</t>
  </si>
  <si>
    <t>VEJEN SPILDEVAND A/S</t>
  </si>
  <si>
    <t>Revisionshuset - Viborg I/S</t>
  </si>
  <si>
    <t>Middelfart kommune Affald &amp; Genbrug</t>
  </si>
  <si>
    <t>Høng Efterskole</t>
  </si>
  <si>
    <t>ADVOKATKOMPAGNIET A/S</t>
  </si>
  <si>
    <t>TØNDER SERVICE A/S</t>
  </si>
  <si>
    <t>Advokatfa Thuesen Bødker &amp; Jæger</t>
  </si>
  <si>
    <t>Hvidovre Gymnasium &amp; HF</t>
  </si>
  <si>
    <t>Horsens Gymnasium</t>
  </si>
  <si>
    <t>Multi Revision I/S</t>
  </si>
  <si>
    <t>Bjerget Efterskole</t>
  </si>
  <si>
    <t>Landboforening Syd</t>
  </si>
  <si>
    <t>DANSKE INKASSO ApS</t>
  </si>
  <si>
    <t>VUC Lyngby</t>
  </si>
  <si>
    <t>LIDEGAARD REVISION &amp; RÅDGIVNING REGISTRERET REVISIONSANPARTSSELSKAB</t>
  </si>
  <si>
    <t>SERGEL A/S</t>
  </si>
  <si>
    <t>Nomi4s i/s - Holstebro</t>
  </si>
  <si>
    <t>Nomi4s i/s - Struer</t>
  </si>
  <si>
    <t>Nomi4s i/s - Skive</t>
  </si>
  <si>
    <t>Nomi4s i/s - Lemvig</t>
  </si>
  <si>
    <t>Nomi4s i/s</t>
  </si>
  <si>
    <t>Handbjerghus Efterskole</t>
  </si>
  <si>
    <t>EXTENSO INKASSO ApS</t>
  </si>
  <si>
    <t>StruerSkolen - Læring og Livsstil</t>
  </si>
  <si>
    <t>Paderup Gymnasium</t>
  </si>
  <si>
    <t>PRICEWATERHOUSECOOPERS STATSAUTORISERET REVISIONSPARTNERSELSKAB</t>
  </si>
  <si>
    <t>Højskolen SNOGHØJ</t>
  </si>
  <si>
    <t>Efterskolen Solbakken</t>
  </si>
  <si>
    <t>VESTFORSYNING BELYSNING A/S</t>
  </si>
  <si>
    <t>VESTFORSYNING VAND A/S</t>
  </si>
  <si>
    <t>VESTFORSYNING NET A/S</t>
  </si>
  <si>
    <t>VESTFORSYNING VARME A/S</t>
  </si>
  <si>
    <t>Odense Katedralskole</t>
  </si>
  <si>
    <t>Waldemarsbo Efterskole</t>
  </si>
  <si>
    <t>3C RETAIL A/S</t>
  </si>
  <si>
    <t>D:E:R A/S</t>
  </si>
  <si>
    <t>Erhvervsstyrelsen ERST - afgift</t>
  </si>
  <si>
    <t>Familiehøjskolen Skærgården</t>
  </si>
  <si>
    <t>Odder Gymnasium</t>
  </si>
  <si>
    <t>Det Etiske Råd og Den Nationale Videnskabsetiske Komité</t>
  </si>
  <si>
    <t>ADVOKATANPARTSSELSKABET BORCH</t>
  </si>
  <si>
    <t>Nordfyns Efterskole</t>
  </si>
  <si>
    <t>Statens Administration (EFI) Svindelsager</t>
  </si>
  <si>
    <t>Sædding Efterskole</t>
  </si>
  <si>
    <t>Statens Administration (EFI) Lån til uddannelsesløft</t>
  </si>
  <si>
    <t>DANSK REVISION SILKEBORG REGISTRERET REVISIONSAKTIESELSKAB</t>
  </si>
  <si>
    <t>Energnist</t>
  </si>
  <si>
    <t>Midt- og Sydsjællands Brand &amp; Redning I/S</t>
  </si>
  <si>
    <t>Dybbøl Efterskole</t>
  </si>
  <si>
    <t>Efterskolen Ådalen</t>
  </si>
  <si>
    <t>TØNDER DEPONI A/S</t>
  </si>
  <si>
    <t>TØNDER VAND A/S</t>
  </si>
  <si>
    <t>TØNDER SPILDEVAND A/S</t>
  </si>
  <si>
    <t>TØNDER AFFALD A/S</t>
  </si>
  <si>
    <t>Region Hovedstaden</t>
  </si>
  <si>
    <t>Statens Administration (EFI) Statens Voksenuddannelsesstøtte</t>
  </si>
  <si>
    <t>BILLUND DRIKKEVAND A/S</t>
  </si>
  <si>
    <t>Finanzamt St. Johann Tamsweg Zell am See</t>
  </si>
  <si>
    <t>Recette d´Uccle</t>
  </si>
  <si>
    <t>Finanzamt Hamburg-Altona</t>
  </si>
  <si>
    <t>Finanzamt Rostock</t>
  </si>
  <si>
    <t>Finanzamt Wuppertal-Elberfeld</t>
  </si>
  <si>
    <t>Urzad Miasta Swinoujscie</t>
  </si>
  <si>
    <t>Narczelnik Zachodniopomorskiego Urzedu Skarbo</t>
  </si>
  <si>
    <t>PAYEX DANMARK A/S</t>
  </si>
  <si>
    <t>Socialversicherungsanstalt (Vorarlberg)</t>
  </si>
  <si>
    <t>Sozialversicherungsanstalt (Salzburg)</t>
  </si>
  <si>
    <t>Ontvangkantoor belastingen Haacht</t>
  </si>
  <si>
    <t>Ontvangkantoor GENT BUITENLAND</t>
  </si>
  <si>
    <t>Ontvangkantoor Schaarbeek 1</t>
  </si>
  <si>
    <t>Recette IXELLES 2</t>
  </si>
  <si>
    <t>National Revenue Agency</t>
  </si>
  <si>
    <t>Amt Jevenstedt</t>
  </si>
  <si>
    <t>Brf Kredit A/S</t>
  </si>
  <si>
    <t>Finanzamt Hamburg-Mitte</t>
  </si>
  <si>
    <t>Finanzamt Hof</t>
  </si>
  <si>
    <t>Finanzamt Merzig</t>
  </si>
  <si>
    <t>Finanzamt Mühlhausen - Zentralfinanzkasse</t>
  </si>
  <si>
    <t>Finanzamt Stadthagen</t>
  </si>
  <si>
    <t>Gemeinde Harrislee</t>
  </si>
  <si>
    <t>Hauptzollamt Lörrach</t>
  </si>
  <si>
    <t>Hauptzollamt Rosenheim</t>
  </si>
  <si>
    <t>IKK classic</t>
  </si>
  <si>
    <t>IKK Brandenburg und Berlin</t>
  </si>
  <si>
    <t>AOK Niedersachsen</t>
  </si>
  <si>
    <t>AOK Nordwest</t>
  </si>
  <si>
    <t>AOK Nordwest Regionaldirektion Lüdenscheid</t>
  </si>
  <si>
    <t>AOK Nordwest, Regionaldirektion Gütersloh</t>
  </si>
  <si>
    <t>AOK Rheinland-Pfalz/Saarland</t>
  </si>
  <si>
    <t>BKK Mobil Oil</t>
  </si>
  <si>
    <t>Deutsche Rentenversicherung Knappschaft-Bahn-</t>
  </si>
  <si>
    <t>Deutsche Rentenversicherung Nord</t>
  </si>
  <si>
    <t>Deutsche Rentenversicherung-Knappschaft-Bahn-</t>
  </si>
  <si>
    <t>DRV Knappschaft-Bahn-See</t>
  </si>
  <si>
    <t>Finanzamt Bad Homburg</t>
  </si>
  <si>
    <t>Finanzamt Bad Segeberg</t>
  </si>
  <si>
    <t>Finanzamt Bitterfeld-Wolfen</t>
  </si>
  <si>
    <t>Finanzamt Charlottenburg</t>
  </si>
  <si>
    <t>Finanzamt Erfurt</t>
  </si>
  <si>
    <t>Finanzamt Frankfurt an Main IV</t>
  </si>
  <si>
    <t>Finanzamt für Körperschaften III</t>
  </si>
  <si>
    <t>Finanzamt Fürstenwalde</t>
  </si>
  <si>
    <t>IKK gesund plus</t>
  </si>
  <si>
    <t>IKK Nord</t>
  </si>
  <si>
    <t>Knappschaft</t>
  </si>
  <si>
    <t>Zollzahlstelle Nordhorn</t>
  </si>
  <si>
    <t>RÄTTSREGISTERCENTRALEN</t>
  </si>
  <si>
    <t>Equitalia Nord SPA</t>
  </si>
  <si>
    <t>Valstybinio Socialinio draudimo fondo valdybo</t>
  </si>
  <si>
    <t>Recette Centrale TVA</t>
  </si>
  <si>
    <t>Valsts ienemumu dienests</t>
  </si>
  <si>
    <t>Advokater Haumann &amp; Fastrup v/Lauge Fastrup</t>
  </si>
  <si>
    <t>Advokatfirmaet Kirsten Skodborg v/Kirsten Skodborg Nielsen</t>
  </si>
  <si>
    <t>AOK Bayern Die Gesundheitskase</t>
  </si>
  <si>
    <t>AOK Mittlerer Oberrhein</t>
  </si>
  <si>
    <t>Belastingdienst/Kantoor Buitenland</t>
  </si>
  <si>
    <t>Office of the Collector Generals</t>
  </si>
  <si>
    <t>Finanzamt Ratzeburg</t>
  </si>
  <si>
    <t>Finnish Customs</t>
  </si>
  <si>
    <t>Naczelnik Pierwszego Urzedu Skarbowego W Czes</t>
  </si>
  <si>
    <t>Billund Spildevand</t>
  </si>
  <si>
    <t>Marselisborg Gymnasium</t>
  </si>
  <si>
    <t>AFLD I/S</t>
  </si>
  <si>
    <t>Nordfyns Gymnasium</t>
  </si>
  <si>
    <t>Salzburger Gebietskrankenkasse</t>
  </si>
  <si>
    <t>Finanzamt für Gebühren, Verkehrsteuern und Glücksspiel</t>
  </si>
  <si>
    <t>TEAM RECOUVREMENT PP ETTERBEEK/ST-GILLES</t>
  </si>
  <si>
    <t>TEAM RECOUVREMENT PP UCCLE</t>
  </si>
  <si>
    <t>Ausgleichskasse Zug</t>
  </si>
  <si>
    <t>AOK Nordwest2</t>
  </si>
  <si>
    <t>Atlas BKK ahlmann</t>
  </si>
  <si>
    <t>Berufsgenossenschaft Nahrungsmittel und Gastgewerbe</t>
  </si>
  <si>
    <t>Der Magistrat, Kämmerei, Vollstreckung</t>
  </si>
  <si>
    <t>Finanzamt Essen-NordOst</t>
  </si>
  <si>
    <t>Finanzamt Geilenkirchen</t>
  </si>
  <si>
    <t>Finanzamt Hattingen</t>
  </si>
  <si>
    <t>Finanzamt Hoyerswerda</t>
  </si>
  <si>
    <t>Finanzamt Kiel-Süd</t>
  </si>
  <si>
    <t>Finanzamt Mittweida</t>
  </si>
  <si>
    <t>Finanzamt Wittlich</t>
  </si>
  <si>
    <t>IKK  classic</t>
  </si>
  <si>
    <t xml:space="preserve">Salus BKK </t>
  </si>
  <si>
    <t>Viactiv Krankenkasse</t>
  </si>
  <si>
    <t>Dependencia Regional de Recaudación Cádiz</t>
  </si>
  <si>
    <t>NAV Kiemelt Adózók Adóigazgatósága</t>
  </si>
  <si>
    <t>Kauno teritorinė muitinė</t>
  </si>
  <si>
    <t>NAV Innkrevning</t>
  </si>
  <si>
    <t>NAV Innkrevning v/NAV SED Inn</t>
  </si>
  <si>
    <t>Urząd Skarbowy15</t>
  </si>
  <si>
    <t>Administratia Judeteana a Finantelor Publice Arad-Serviciul Colectare si Executare Silita Persoane Juridice</t>
  </si>
  <si>
    <t>AffaldVarme Aarhus</t>
  </si>
  <si>
    <t>TEAM RECOUVREMENT ARLON</t>
  </si>
  <si>
    <t>Finanzamt Duisburg-West</t>
  </si>
  <si>
    <t>Finanzamt für Körperschaften II</t>
  </si>
  <si>
    <t>Finanzamt Hamburg-Eimsbüttel</t>
  </si>
  <si>
    <t>Finanzamt Marzahn-Hellersdorf</t>
  </si>
  <si>
    <t>Hauptzollamt Hamburg-Stadt -Vollstreckungsstelle-</t>
  </si>
  <si>
    <t>Markt Pleinfeld</t>
  </si>
  <si>
    <t>Stadt Lüdenscheid - Finanzbuchhaltung als Vollstreckungsbehörde</t>
  </si>
  <si>
    <t>Unidad de Recaudación. Administrción de Torremolinos</t>
  </si>
  <si>
    <t>HMRC Debt Management MARD and NNRU Team</t>
  </si>
  <si>
    <t>CENTRO OPERATIVO DI PESCARA</t>
  </si>
  <si>
    <t>Bureau de recette Luxembourg</t>
  </si>
  <si>
    <t>Douane Amsterdam</t>
  </si>
  <si>
    <t>Naczelnik Urzędu Skarbowego w Nowym Sączu</t>
  </si>
  <si>
    <t>FU KOPER</t>
  </si>
  <si>
    <t>Finanzamt Bregenz</t>
  </si>
  <si>
    <t>Finanční úřad pro Ústecký kraj</t>
  </si>
  <si>
    <t>Amt Mittelholstein</t>
  </si>
  <si>
    <t>Finanzamt Duisburg-Hamborn</t>
  </si>
  <si>
    <t>Finanzamt Eilenburg</t>
  </si>
  <si>
    <t>Finanzamt Gießen</t>
  </si>
  <si>
    <t>Finanzamt Hildesheim</t>
  </si>
  <si>
    <t>Finanzamt Münster-Außenstadt - EHBZ 5</t>
  </si>
  <si>
    <t>Finanzamt Offenbach am Main I</t>
  </si>
  <si>
    <t>Finanzamt Ostholstein</t>
  </si>
  <si>
    <t>Finanzamt Sankt Augustin</t>
  </si>
  <si>
    <t>Finanzamt Speyer-Germersheim</t>
  </si>
  <si>
    <t>Finanzamt Vechta</t>
  </si>
  <si>
    <t>Finanzamt Westerstede</t>
  </si>
  <si>
    <t>Hauptzollamt Gießen</t>
  </si>
  <si>
    <t>DELEGACIÓN ESPECIAL DE ILLES BALEARS</t>
  </si>
  <si>
    <t>Office of the Revenue Commissioners</t>
  </si>
  <si>
    <t>Naczelnik Pierwszego Urzędu Skarbowego w Koszalinie</t>
  </si>
  <si>
    <t>Naczelnik Urzędu Skarbowego w Jaśle</t>
  </si>
  <si>
    <t>Urząd Skarbowy</t>
  </si>
  <si>
    <t>Daňový úrad Nitra</t>
  </si>
  <si>
    <t>Naczelnik Urzedu Skarbowego w Wejherowie</t>
  </si>
  <si>
    <t>Finanzamt Wolfenbüttel</t>
  </si>
  <si>
    <t>REFA Stubbekøbing Fjernvarme A/S - Stubbekøbing</t>
  </si>
  <si>
    <t>REFA Stubbekøbing Fjernvarme A/S - Horbelev</t>
  </si>
  <si>
    <t>REFA Gedser Fjernvarme A/S</t>
  </si>
  <si>
    <t>REFA Stubbekøbing Fjernvarme A/S - Kettinge</t>
  </si>
  <si>
    <t>Tårnby Gymnasium og HF</t>
  </si>
  <si>
    <t>Team Invordering NP Gent Centrum</t>
  </si>
  <si>
    <t>Amt Büsum-Wesselburen</t>
  </si>
  <si>
    <t>Finanzamt Hilden</t>
  </si>
  <si>
    <t>Finanzamt Iserlohn</t>
  </si>
  <si>
    <t>Finanzamt Leonberg</t>
  </si>
  <si>
    <t>Finanzamt Nürnberg-Zentral</t>
  </si>
  <si>
    <t>Finanzamt Oranienburg</t>
  </si>
  <si>
    <t>Finanzamt Soest</t>
  </si>
  <si>
    <t>Finanzamt Wismar</t>
  </si>
  <si>
    <t>IKK Südwest</t>
  </si>
  <si>
    <t>RECETTE REGIONALE DES DOUANES</t>
  </si>
  <si>
    <t>State Social Insurance Fund Board territorial office of Kaunas</t>
  </si>
  <si>
    <t>Ontvangkantoor Kortenberg</t>
  </si>
  <si>
    <t>Amt Hüttener Berge</t>
  </si>
  <si>
    <t>Amt Schafflund</t>
  </si>
  <si>
    <t>BARMER GEK</t>
  </si>
  <si>
    <t>BW Bank Stuttgart</t>
  </si>
  <si>
    <t>DGUV</t>
  </si>
  <si>
    <t>Finanzamt Coburg</t>
  </si>
  <si>
    <t>Finanzamt Helmstedt</t>
  </si>
  <si>
    <t>IKK Classic</t>
  </si>
  <si>
    <t>Stadt Braunschweig</t>
  </si>
  <si>
    <t>Stadtverwaltung Gera</t>
  </si>
  <si>
    <t>Urząd Skarbowy w Czechowicach-Dziedzicach</t>
  </si>
  <si>
    <t>Regional Recaudación Alicante</t>
  </si>
  <si>
    <t>Metroselskabet I/S</t>
  </si>
  <si>
    <t>Team invordering Mechelen</t>
  </si>
  <si>
    <t>Finanční úřad pro Plzeňský kraj</t>
  </si>
  <si>
    <t>Finanzamt Krefeld</t>
  </si>
  <si>
    <t>Hauptzollamt Stralsund</t>
  </si>
  <si>
    <t>NACZELNIK URZEDU SKARBOWEGO W KOŁOBRZEGU</t>
  </si>
  <si>
    <t>Naczelnik Urzędu Skarbowego w Leżajsku</t>
  </si>
  <si>
    <t>BKK VBU</t>
  </si>
  <si>
    <t>Versorgungswerk der Zahnärztekammer S-H</t>
  </si>
  <si>
    <t>Siauliai Department of State Social Insurance Fund Board</t>
  </si>
  <si>
    <t>Din Sundhedsfaglige A-kasse (2826) [tilføjet 12-11-2019]</t>
  </si>
  <si>
    <t>Søfartsstyrelsen, drift //tilføjet 07-07-2020</t>
  </si>
  <si>
    <t>International Inddrivelse (tidligere SKAT Tønder)</t>
  </si>
  <si>
    <t>DSB (nyt nummer)</t>
  </si>
  <si>
    <t>UDK - Pension</t>
  </si>
  <si>
    <t>Politi Administrativt Center – PAC</t>
  </si>
  <si>
    <t>Fjordforbindelsen</t>
  </si>
  <si>
    <t>Administrations- og Servicestyrelsen</t>
  </si>
  <si>
    <t>Arbejdsmarkedets Feriefond</t>
  </si>
  <si>
    <t>Kommuner</t>
  </si>
  <si>
    <t>A-kasser</t>
  </si>
  <si>
    <t>Politikredse</t>
  </si>
  <si>
    <t>Domstole</t>
  </si>
  <si>
    <t>Universiteter</t>
  </si>
  <si>
    <t>Forsyningsselskaber</t>
  </si>
  <si>
    <t>Tværgående fordringer</t>
  </si>
  <si>
    <t>Fordringshaver-ID</t>
  </si>
  <si>
    <t>Forbedr manuel sammenligning, så temp-filer slettes efter brug
Tilføj liste med FH-ID vs FH-navn, så navn vises på Fordring-fane (1ste fane)</t>
  </si>
  <si>
    <t>1.17</t>
  </si>
  <si>
    <t>Tilføj mulighed for at normalisere valgt fils configuration med Filteropsætters ditto, så evt. manglende regler indsættes. Antager at fil ikke har flere regler end FO og at de står i samme rækkefølge</t>
  </si>
  <si>
    <t>UDK-Portal - Lån</t>
  </si>
  <si>
    <t>1.18</t>
  </si>
  <si>
    <t>Tilføj '2643 -&gt; UDK-Portal - Lån' til FH-Ids</t>
  </si>
  <si>
    <t>UDK-Portal - Forsikrede</t>
  </si>
  <si>
    <t>UDK-STAT - SU</t>
  </si>
  <si>
    <t>UDK - ???</t>
  </si>
  <si>
    <t>Regioner</t>
  </si>
  <si>
    <t>Uddannelsesinstitutioner</t>
  </si>
  <si>
    <t>Kirker</t>
  </si>
  <si>
    <t>1.19</t>
  </si>
  <si>
    <t>Tilføj 3014, 9906, 9907 og 9908 til FH-Ids, samt tilpas tekst i UDK's FH-Ids</t>
  </si>
  <si>
    <t>Region Sjælland</t>
  </si>
  <si>
    <t>Lundehus Kirke</t>
  </si>
  <si>
    <t>Ølstykke Kirkekasse</t>
  </si>
  <si>
    <t>Veksø Sogns Menighedsråd</t>
  </si>
  <si>
    <t>Stenløse Kirke Kirkekontoret</t>
  </si>
  <si>
    <t>Silkeborg Kirkegårde og Krematorium</t>
  </si>
  <si>
    <t>Karlebo Sogn</t>
  </si>
  <si>
    <t>Rønne Kirkegårdskontor</t>
  </si>
  <si>
    <t>Grøndalslund sogns menighedsråd</t>
  </si>
  <si>
    <t>Odder Menighedsråd</t>
  </si>
  <si>
    <t>Vamdrup Kirke</t>
  </si>
  <si>
    <t>Kirkernes Hus - Fredericia kirkegårde</t>
  </si>
  <si>
    <t>Struer Kirke og Kirkegård</t>
  </si>
  <si>
    <t>Brande Kirke menighedsråd</t>
  </si>
  <si>
    <t>Ingstrup V. Hjermitslev Menighedsråd</t>
  </si>
  <si>
    <t>Kirke Hvalsø-Særløse Kirkekasse</t>
  </si>
  <si>
    <t>Asminderød Menighedsråd</t>
  </si>
  <si>
    <t>Bording-Christianshede menighedsråd</t>
  </si>
  <si>
    <t>Kirkegårdsbestyrelsen for Herlev og Birkholm Kirkegårde</t>
  </si>
  <si>
    <t>Engesvang Menighedsråd</t>
  </si>
  <si>
    <t>Sakskøbing menighedsråd og kirkegård</t>
  </si>
  <si>
    <t>Roskilde Kirkegårde</t>
  </si>
  <si>
    <t>Laurbjerg Menighedsråd</t>
  </si>
  <si>
    <t>Hammer Kirke v/Hammer-Vester Egesborg Sogns Menighedsråd</t>
  </si>
  <si>
    <t>Folkekirkens Kirkegårde i Hvidovre</t>
  </si>
  <si>
    <t>Farum Sogn</t>
  </si>
  <si>
    <t>Aabenraa Sogn</t>
  </si>
  <si>
    <t>Skt. Nikolai sogn</t>
  </si>
  <si>
    <t>Åby Sogns Menighedsråd</t>
  </si>
  <si>
    <t>Nyborg Menighedsråd</t>
  </si>
  <si>
    <t>Tyrstrup Sogns Menighedsråd</t>
  </si>
  <si>
    <t>Region Nordjylland</t>
  </si>
  <si>
    <t>Region Sjælland - UDGÅET</t>
  </si>
  <si>
    <t>Sorø Fjernvarme A/S</t>
  </si>
  <si>
    <t>1.20</t>
  </si>
  <si>
    <t>Tilføj 34 FH (især menighedsråd) til FH-Ids; Ret font (ikke helt i hus); Gør regel om rentesøskende usynlig</t>
  </si>
  <si>
    <t>1.21</t>
  </si>
  <si>
    <t>Haderslev Realskole</t>
  </si>
  <si>
    <t>Skibelund Gymnastik og Idrætsefterskole</t>
  </si>
  <si>
    <t>Styrelsen for patientsikkerhed</t>
  </si>
  <si>
    <t>Tilføj 9 FH (2 udd.inst og 2 stats) til FH-Ids</t>
  </si>
  <si>
    <t>1.22</t>
  </si>
  <si>
    <t>Ukendt</t>
  </si>
  <si>
    <t>Landbrugsstyrelsen</t>
  </si>
  <si>
    <t>Sundhedsdatastyrelsen</t>
  </si>
  <si>
    <t>Trafik-, Bygge- og Boligstyrelsen</t>
  </si>
  <si>
    <t>Færdselsstyrelsen (parkeringsafgifter)</t>
  </si>
  <si>
    <t>Færdselsstyrelsen (synshaller)</t>
  </si>
  <si>
    <t>Blidstrup Efterskole</t>
  </si>
  <si>
    <t>Broby Sportsefterskole</t>
  </si>
  <si>
    <t>Den selvejende institution Brejning</t>
  </si>
  <si>
    <t>Himmerlandscentrets Idrætsefterskole</t>
  </si>
  <si>
    <t xml:space="preserve">Efterskolen BGI akademiet </t>
  </si>
  <si>
    <t>Frøslevlejrens Efterskole</t>
  </si>
  <si>
    <t>Faarevejle Fri- og efterskole</t>
  </si>
  <si>
    <t>Glamsdalens Idrætsefterskole</t>
  </si>
  <si>
    <t>Hjembæk Efterskole</t>
  </si>
  <si>
    <t>Kerteminde Efterskole</t>
  </si>
  <si>
    <t>Haslev Privatskole</t>
  </si>
  <si>
    <t>Hellebjerg Idrætsefterskole</t>
  </si>
  <si>
    <t>Koldingegnens Idrætsefterskole</t>
  </si>
  <si>
    <t>Korinth Efterskole</t>
  </si>
  <si>
    <t>Langelands Efterskole</t>
  </si>
  <si>
    <t>Nislevgård Efterskole</t>
  </si>
  <si>
    <t>Nordsjællands Grundskole og Gymnasium</t>
  </si>
  <si>
    <t>Nørbæk Efterskole</t>
  </si>
  <si>
    <t>Ranum Efterskole College</t>
  </si>
  <si>
    <t>Rebild Efterskole</t>
  </si>
  <si>
    <t>Ringe Fri- og efterskole</t>
  </si>
  <si>
    <t>Skovlund Efterskole</t>
  </si>
  <si>
    <t>Sydvestjyllands Efterskole</t>
  </si>
  <si>
    <t>Thorsgaard Efterskole</t>
  </si>
  <si>
    <t>Tirstrup Idrætsefterskole</t>
  </si>
  <si>
    <t>Tjele Efterskole</t>
  </si>
  <si>
    <t>Vedersø Idrætsefterskole</t>
  </si>
  <si>
    <t>Vejlefjordskolen</t>
  </si>
  <si>
    <t xml:space="preserve">Vesterbølle Efterskole </t>
  </si>
  <si>
    <t>Øse efterskole</t>
  </si>
  <si>
    <t>Ret så app kan bruges fra OneDrive inkl Sammenlign; Forudfyld standardopsætning for FOF, SRB og FOKO; Tilføj FH-Id op til 4080 (sidste 8 som Ukendt)</t>
  </si>
  <si>
    <t>1.23</t>
  </si>
  <si>
    <t>UDK - Arbejdsmarkedets Erhvervssikring</t>
  </si>
  <si>
    <t>Tilføj basisregel R_8_2 [IS-77767]
Udkommenter 'addData' og fjern lidt gammel udkommentering
Indkommenter tjek på antal af configs ved indlæs til merge
Ret formattering på FOKO:FOF:Senest (ikke helt i land)
Ret formattering på Relateret - Forfald og Periodestart
Tilføj FH-Id 2645 UDK - Arbejdsmarkedets Erhvervssikring
Tilføj 'med/uden hensyn til FOKO-lukkedag' i skema for max FOKO-regler</t>
  </si>
  <si>
    <t>Udbetaling Danmark - SVU § 20</t>
  </si>
  <si>
    <t>Udbetaling Danmark - SVU § 19</t>
  </si>
  <si>
    <t>Fiskeristyrelsen</t>
  </si>
  <si>
    <t>1.24</t>
  </si>
  <si>
    <t>Erhvervsstyrelsen (Tvangsbøder)</t>
  </si>
  <si>
    <t>Fødevarestyrelsen (Administrative bøder)</t>
  </si>
  <si>
    <t>Erhvervsstyrelsen (COVID-19)</t>
  </si>
  <si>
    <t>Tilføj FH-IDs 2820 Fiskeristyrelsen, 2647 (Udbetaling Danmark - SVU § 19), 2648 (Udbetaling Danmark - SVU § 20), 1237 ændres til Landbrugsstyrelsen
Formatér FH-ID kolonne til tal (burde gøre indsæt nemmere)
Bestilling 280:
1801 Erhvervsstyrelsen ændres til Erhvervsstyrelsen (Tvangsbøder)
2002 Landbrugsstyrelsen ændres til Landbrugsstyrelsen (EU-støtte)
4071 Fødevarestyrelsen ændres til Fødevarestyrelsen (Administrative bøder)
4072 Erhvervsstyrelsen ændres til Erhvervsstyrelsen (COVID-19)</t>
  </si>
  <si>
    <t>Landbrugsstyrelsen, EU- og nationale krav</t>
  </si>
  <si>
    <t>Udbetaling Danmark - Lån til Uddannelsesløft</t>
  </si>
  <si>
    <t>Thisted Vand Service Aps</t>
  </si>
  <si>
    <t>Ikast Kirkegårde</t>
  </si>
  <si>
    <t>Hvorup Sogns Menighedsråd</t>
  </si>
  <si>
    <t>Sønder Tranders Menighedsråd</t>
  </si>
  <si>
    <t>Frederikshavn kirkegårde</t>
  </si>
  <si>
    <t>Grindsted Menighedsråd</t>
  </si>
  <si>
    <t>Sct. Olai Kirkegårdsforvaltning</t>
  </si>
  <si>
    <t>Ballerup Sogns Menighedsråd</t>
  </si>
  <si>
    <t>Snejbjerg Menighedsråd / Snejbjerg Kirke</t>
  </si>
  <si>
    <t>Ladelund Efterskole</t>
  </si>
  <si>
    <t>Vesterlund Efterskole</t>
  </si>
  <si>
    <t>Try Efterskole</t>
  </si>
  <si>
    <t>Vejstrup Efterskole</t>
  </si>
  <si>
    <t>Løkken og Oplands Menighedsråd</t>
  </si>
  <si>
    <t>Gloslunde Menighedsråd</t>
  </si>
  <si>
    <t>Glostrup Kirke v/Glostrup Menighedsråd</t>
  </si>
  <si>
    <t>FGU Hovedstaden</t>
  </si>
  <si>
    <t>FGU Midtjylland</t>
  </si>
  <si>
    <t>FGU Sønderjylland</t>
  </si>
  <si>
    <t>Sdr Nærå Friskole og Midtfyns Efterskole</t>
  </si>
  <si>
    <t>Hjemrejsestyrelsen</t>
  </si>
  <si>
    <t xml:space="preserve">Bjergby-Mygdal Menighedsråd </t>
  </si>
  <si>
    <t>FGU Syd- og Vestsjælland</t>
  </si>
  <si>
    <t>Civilstyrelsen (Regressager)</t>
  </si>
  <si>
    <t xml:space="preserve">Næstelsø-Mogenstrup menighedsråd </t>
  </si>
  <si>
    <t>Brøruphus Efterskole</t>
  </si>
  <si>
    <t>Skolen for Gastronomi, Musik og Design</t>
  </si>
  <si>
    <t>Hjemly Fri- og Idræftsefterskole</t>
  </si>
  <si>
    <t>Emmerske Efterskole</t>
  </si>
  <si>
    <t>Sdr. Feldings Efterskole</t>
  </si>
  <si>
    <t>FGU Øresund</t>
  </si>
  <si>
    <t>Rødding Fri Fag- og Efterskole</t>
  </si>
  <si>
    <t>Tølløse Slots Efterskole</t>
  </si>
  <si>
    <t>Miljøstyrelsen, bøder</t>
  </si>
  <si>
    <t>Brønderslev Kirkegårde</t>
  </si>
  <si>
    <t>Himmelev Menighedsråd</t>
  </si>
  <si>
    <t>Løgumkloster kirke</t>
  </si>
  <si>
    <t>Tandskadeankenævnet</t>
  </si>
  <si>
    <t>1.25</t>
  </si>
  <si>
    <t>Tilføj 42 manglende FH-Ids op til 4113 fra Ultimate; Ret 2002 Landbrugsstyrelsen, EU- og nationale krav</t>
  </si>
  <si>
    <t>Erhvervsstyrelsen (Drift)</t>
  </si>
  <si>
    <t>1.26</t>
  </si>
  <si>
    <t>Ændr:
2489 til Erhvervsstyrelsen
2490 til Erhvervsstyrelsen (Drift)</t>
  </si>
  <si>
    <t>Lønmodtagernes Feriemidler</t>
  </si>
  <si>
    <t>Klim-Thorup-Vust Kirkekasse</t>
  </si>
  <si>
    <t>Kolding Kirkegårde</t>
  </si>
  <si>
    <t>1.27</t>
  </si>
  <si>
    <t>Tilføj 4114 til 4116 til FH-Ids</t>
  </si>
  <si>
    <t>1.28</t>
  </si>
  <si>
    <t>Tilføj MODR-kolonne på Regler. Viser om regel gælder for MODR-fordringer [OAF-15354]</t>
  </si>
  <si>
    <t>1.29</t>
  </si>
  <si>
    <t>Tilføj basisdatoregler M_1_1 til M_1_6 for MODR-fordringer på Regler. Farv kolonner ID og MODR blå for regler der gælder for MODR [OAF-15354]</t>
  </si>
  <si>
    <t>1.30</t>
  </si>
  <si>
    <t>Farv kolonner ID og MODR blå for regler der igen gælder for MODR efter møde 23feb22 [OAF-15354]</t>
  </si>
  <si>
    <t>1.31</t>
  </si>
  <si>
    <t>Ret D/F-fane:
Hvis kun én dato altid skal være udfyldt, sættes den anden til -1, når fane forlades
Sluk konsekvensknap og ryk FOKO checkbox, hvis værdier svarer til slukket regel ved ændring</t>
  </si>
  <si>
    <t>Styrelsen for Dataforsyning og Effektivisering</t>
  </si>
  <si>
    <t>Bolig- og Planstyrelsen</t>
  </si>
  <si>
    <t>S/I FGU Østjylland</t>
  </si>
  <si>
    <t>Solrød Gymnasium</t>
  </si>
  <si>
    <t>Rødding Sognekirke</t>
  </si>
  <si>
    <t>Lemvig-Heldum Menighedsråd</t>
  </si>
  <si>
    <t>Alderslyst Menighedsråd</t>
  </si>
  <si>
    <t>FGU Nordvest</t>
  </si>
  <si>
    <t>Munkebo Menighedsråd</t>
  </si>
  <si>
    <t>Præstebro Sogns Menighedsråd</t>
  </si>
  <si>
    <t>Falslev- Vindblæs Sogns Menighedsråd</t>
  </si>
  <si>
    <t>Sejs-Svejbæk Sogns Menighedsråd</t>
  </si>
  <si>
    <t>Studsgård Sogns Menighedsråd</t>
  </si>
  <si>
    <t>Grønholt Sogns Menighedsråd</t>
  </si>
  <si>
    <t>Søndbjerg-Odby Sognes Menighedsråd</t>
  </si>
  <si>
    <t>1.32</t>
  </si>
  <si>
    <t>Tilføj 4117 til 4131 til FH-Ids</t>
  </si>
  <si>
    <t>1.33</t>
  </si>
  <si>
    <t>Udvid regel R_7_1 -  STF ikke banklukkedag, hvis Quantity = 1 [IS-83698]
Ændr validering af langt FT-navn til højst 60 tegn, hvor æ, ø og å tæller dobbelt</t>
  </si>
  <si>
    <t>1.34</t>
  </si>
  <si>
    <t>Ret copy/paste-fejl på Regler B84:E89</t>
  </si>
  <si>
    <t>1.35</t>
  </si>
  <si>
    <t>Tilføj kommentar på Regler om at kommunale MODR springer R_6_3 over efter [OAF-15513]</t>
  </si>
  <si>
    <t>1.36</t>
  </si>
  <si>
    <t>Tilføj kommentar på Regler om at kommunale bortfaldsfordringer springer R_3_1 over</t>
  </si>
  <si>
    <t>Datatilsynet</t>
  </si>
  <si>
    <t>Finanzamt Österreich Dienststelle Zell am See</t>
  </si>
  <si>
    <t>Finanzamt Graz-Stadt</t>
  </si>
  <si>
    <t>Dansk Dekommissionering</t>
  </si>
  <si>
    <t>Balle Menighedsråd</t>
  </si>
  <si>
    <t>Skagen-Hulsig Kirker &amp; Kirkegårde</t>
  </si>
  <si>
    <t>Bjolderup-Uge Menighedsråd</t>
  </si>
  <si>
    <t>Køng Idrætsfriskole</t>
  </si>
  <si>
    <t>Tommerup Efterskole</t>
  </si>
  <si>
    <t>Fredenskirken</t>
  </si>
  <si>
    <t>Skåde Sogns Menighedsråd</t>
  </si>
  <si>
    <t>Tranbjerg Sogns Menighedsråd</t>
  </si>
  <si>
    <t>Advokatnævnet</t>
  </si>
  <si>
    <t>Bjernede Menighedsraad</t>
  </si>
  <si>
    <t>Studievalg Danmark</t>
  </si>
  <si>
    <t>S/I FGU Midt- og Østsjælland</t>
  </si>
  <si>
    <t>Femmøller Efterskole</t>
  </si>
  <si>
    <t>Bøvling Fri- og Efterskole Idrætsefterskole</t>
  </si>
  <si>
    <t>Flakkebjerg Efterskole</t>
  </si>
  <si>
    <t>Dansk Producentansvar</t>
  </si>
  <si>
    <t>1.37</t>
  </si>
  <si>
    <t>Tilføj 4132 til 4152 til FH-Ids</t>
  </si>
  <si>
    <t>1.38</t>
  </si>
  <si>
    <t>Fix at Normalisering fejler tit halvvejs med index-fejl</t>
  </si>
  <si>
    <t>1.39</t>
  </si>
  <si>
    <t>591: Slå 4 regler {R_2_3,R_2_4,R_2_6,R_2_8} fra for Modregningsfordringer MODR på fane Regler [OAF-15685]</t>
  </si>
  <si>
    <t>1.40</t>
  </si>
  <si>
    <t>Kommentar på fane Regler om undtagelser for R_8_2: 
602: Undtag REOPKOM hos Kommuner 9900 for R_8_2 [OAF-15700]
421: Undtagelse af KOBRA for R_8_2 [OAF-15343]</t>
  </si>
  <si>
    <t>1.41</t>
  </si>
  <si>
    <t>Ret popup-tekst til langt FT-navn - max antal tegn sat til 60</t>
  </si>
  <si>
    <t>Them Sogns Menighedsråd</t>
  </si>
  <si>
    <t>Blovstrød Menighedsråd</t>
  </si>
  <si>
    <t>Stoholm Menighedsråd</t>
  </si>
  <si>
    <t>Ensted Menighedsråd</t>
  </si>
  <si>
    <t>S/I FGU Himmerland</t>
  </si>
  <si>
    <t>Finanzamt Bremerhaven</t>
  </si>
  <si>
    <t>Finanzamt Naumburg</t>
  </si>
  <si>
    <t>Sýslumaðurinn á Suðurnesjum</t>
  </si>
  <si>
    <t>Sýslumaðurinn á Suðurlandi</t>
  </si>
  <si>
    <t>Syslumadurinn a Vesturlandi</t>
  </si>
  <si>
    <t>Regional Office Split</t>
  </si>
  <si>
    <t>Naczelnik Urzędu Skarbowego w Pyrzycach</t>
  </si>
  <si>
    <t>Kansaneläkelaitos</t>
  </si>
  <si>
    <t>State Social Insurance Fund Board Marijampole office</t>
  </si>
  <si>
    <t>Silale Department of State Social Insurance Found Board</t>
  </si>
  <si>
    <t>Urzad Marszalkowski Wojewodstwa Zachodniopomorskiego</t>
  </si>
  <si>
    <t>Zaklad Ubezpieczen Spolecznych Oddzial w Opolu Wydzial Reali</t>
  </si>
  <si>
    <t>AOK Nordost</t>
  </si>
  <si>
    <t>Audi BKK</t>
  </si>
  <si>
    <t>BIG direkt gesund</t>
  </si>
  <si>
    <t>Continentale Betriebskrankenkasse</t>
  </si>
  <si>
    <t>Deutsche Rentenversicherung Bayern Süd</t>
  </si>
  <si>
    <t>HKK</t>
  </si>
  <si>
    <t>VBG Verwaltungs- Berufsgenossenschaft</t>
  </si>
  <si>
    <t>Sozialversicherungsanstalt der gewerblichen Wirtschaft</t>
  </si>
  <si>
    <t>Wiener Gebietskrankenkasse</t>
  </si>
  <si>
    <t>Deutsche Rentenversicherung Knappschaft-Bahn-See (Hamburg)</t>
  </si>
  <si>
    <t>Service Imports particuliers Non Residents</t>
  </si>
  <si>
    <t>Team Invordering NP Antwerpen 2</t>
  </si>
  <si>
    <t>Team Recouvrement PP IXELLES</t>
  </si>
  <si>
    <t>Team Recoverment Personnes Physiques Nivelles</t>
  </si>
  <si>
    <t>SIP Nice Centre Collines</t>
  </si>
  <si>
    <t>Local Tax Office of Agioi Anargiroi</t>
  </si>
  <si>
    <t>Public Fiscal Authority af Ampelokipi</t>
  </si>
  <si>
    <t>Athens Airport EL Venizelos</t>
  </si>
  <si>
    <t>Belastingdienst/kantoor Groningen</t>
  </si>
  <si>
    <t>Valstybines mokesciu inspekcijos Nepriemoku adm Departament</t>
  </si>
  <si>
    <t>Naczelnik Drugiego Urzedu Skarbowego Warszawa - Srodmiescie</t>
  </si>
  <si>
    <t>Naczelnik Pierwszego Wielkopolskiego Urzedu Skarbowego w Po</t>
  </si>
  <si>
    <t>Naczelnik Urzędu Skarbowego w Giżycku</t>
  </si>
  <si>
    <t>Naczelnik Urzędu Skarbowego w Otwocku</t>
  </si>
  <si>
    <t>Naszelnik Trzeciego Ursedu Skarbowego Warszawa Srodmiescie</t>
  </si>
  <si>
    <t>Urząd Skarbowy w Myśliborzu</t>
  </si>
  <si>
    <t>Servico de Financas Lisboa 3</t>
  </si>
  <si>
    <t>Finančné riaditeľstvo SR</t>
  </si>
  <si>
    <t>Delegación Especial Aeat en Canarias</t>
  </si>
  <si>
    <t>Dependencia Regional de Recaudación de Canarias</t>
  </si>
  <si>
    <t>Dependencia de Recaudación de Santa Cruz de Tenerife</t>
  </si>
  <si>
    <t>Dependencia de Recaudación de Madrid</t>
  </si>
  <si>
    <t>Finanzamt Neukölln</t>
  </si>
  <si>
    <t>Finanzamt Hannover-Land I</t>
  </si>
  <si>
    <t>Hauptzollamt Duisburg - Dienstsitz Emmerich</t>
  </si>
  <si>
    <t>Hauptzollamt Aachen</t>
  </si>
  <si>
    <t>Finanzamt  Jena</t>
  </si>
  <si>
    <t>Finanzamt Brilon</t>
  </si>
  <si>
    <t>Finanzamt Celle</t>
  </si>
  <si>
    <t>Finanzamt Cloppenburg</t>
  </si>
  <si>
    <t>Finanzamt Cuxhaven</t>
  </si>
  <si>
    <t>Finanzamt Dortmund-Hörde</t>
  </si>
  <si>
    <t>Finanzamt Duisburg Süd</t>
  </si>
  <si>
    <t>Finanzamt Düsseldorf-Nord</t>
  </si>
  <si>
    <t>Finanzamt Dresden-Nord</t>
  </si>
  <si>
    <t>Finanzamt Ebersberg</t>
  </si>
  <si>
    <t>Finanzamt Eisleben</t>
  </si>
  <si>
    <t>Finanzamt Frankfurt (Oder)</t>
  </si>
  <si>
    <t>Finanzamt Friedrichshain-Kreuzberg</t>
  </si>
  <si>
    <t>Finanzamt Geldern</t>
  </si>
  <si>
    <t>Finanzamt Gifhorn</t>
  </si>
  <si>
    <t>Finanzamt Groß-Gerau</t>
  </si>
  <si>
    <t>Finanzamt Ilmenau</t>
  </si>
  <si>
    <t>Finanzamt Köln-Süd</t>
  </si>
  <si>
    <t>Finanzamt Lemgo</t>
  </si>
  <si>
    <t>Finanzamt Merseburg</t>
  </si>
  <si>
    <t>Finanzamt Montabaur-Diez</t>
  </si>
  <si>
    <t>Finanzamt Nienburg/Weser</t>
  </si>
  <si>
    <t>Finanzamt Northeim</t>
  </si>
  <si>
    <t>Finanzamt Osterholz-Scharmbeck</t>
  </si>
  <si>
    <t>Finanzamt Plön</t>
  </si>
  <si>
    <t>Finanzamt Quakenbrück</t>
  </si>
  <si>
    <t>Finanzamt Verden (Aller)</t>
  </si>
  <si>
    <t>Finanzamt Warendorf</t>
  </si>
  <si>
    <t>Finanzamt Weinheim</t>
  </si>
  <si>
    <t>Finanzamt Zeven</t>
  </si>
  <si>
    <t>Geminde Hohberg</t>
  </si>
  <si>
    <t>Finanzamt Stendal</t>
  </si>
  <si>
    <t>Nemzeti Ado es Vamhivatal Zala Megyei Ado Vamigazgatosaga</t>
  </si>
  <si>
    <t>Finanzamt Braunschweig-Wilhelmstraße</t>
  </si>
  <si>
    <t>Finanzamt Waren</t>
  </si>
  <si>
    <t>Nordværk I/S</t>
  </si>
  <si>
    <t>Klank Efterskole</t>
  </si>
  <si>
    <t>Højer Design Efterskole</t>
  </si>
  <si>
    <t>Orkesterefterskolen</t>
  </si>
  <si>
    <t>S/I FGU Nordvestsjælland</t>
  </si>
  <si>
    <t>Balle Friskole, Balle Musik- &amp; Idrætsefterskole</t>
  </si>
  <si>
    <t>Lystruphave Efterskole</t>
  </si>
  <si>
    <t>Rydhave Slots Efterskole</t>
  </si>
  <si>
    <t>Brejninggaard Efterskole</t>
  </si>
  <si>
    <t>Aalestrup Naturefterskole</t>
  </si>
  <si>
    <t>Husby Efterskole</t>
  </si>
  <si>
    <t>S/I Fjordvang Efterskole</t>
  </si>
  <si>
    <t>Sorø Fri Fagskole</t>
  </si>
  <si>
    <t>S/I Aalborg Efterskole</t>
  </si>
  <si>
    <t>Rigspolitiet, driftsbevillinger</t>
  </si>
  <si>
    <t>Rigsadvokaten</t>
  </si>
  <si>
    <t>National enhed for Særlig Kriminalitet</t>
  </si>
  <si>
    <t>Dependencias Regionales de Recaudación</t>
  </si>
  <si>
    <t>St Andst Efterskole</t>
  </si>
  <si>
    <t>S/I Den danske Design- og Håndværksefterskole</t>
  </si>
  <si>
    <t>Efterskolen Solgården</t>
  </si>
  <si>
    <t>Efterskolen Østergård</t>
  </si>
  <si>
    <t>Social- og Sundhedsskolen Midt- og Vestjylland S/I</t>
  </si>
  <si>
    <t>Vejgaard Sogns Menighedsråd</t>
  </si>
  <si>
    <t>Gjellerup Menighedsråd</t>
  </si>
  <si>
    <t>Bryrup-Vinding-Vrads Menighedsråd</t>
  </si>
  <si>
    <t>Kold College</t>
  </si>
  <si>
    <t>Syddansk Musikkonservatorium</t>
  </si>
  <si>
    <t>Lintrup-Hjerting Menighedsråd</t>
  </si>
  <si>
    <t>1.42</t>
  </si>
  <si>
    <t>Tilføj 2800-2801, 4152-4165, 4167-4204, 4206-4237, 4239-4274 til FH-Ids</t>
  </si>
  <si>
    <t xml:space="preserve">Slots- og Kulturstyrelsen </t>
  </si>
  <si>
    <t>1.43</t>
  </si>
  <si>
    <t>Ret FH-Id 1637 til 'Slots- og Kulturstyrelsen' (før 'Kulturstyrelsen') Rasmus--møde dd</t>
  </si>
  <si>
    <t>ERÅGEJD</t>
  </si>
  <si>
    <t>Faktura XXXXXXX for gebyr for YYYYYYYY</t>
  </si>
  <si>
    <t>OR</t>
  </si>
  <si>
    <t>TTTTTTT</t>
  </si>
  <si>
    <t>0</t>
  </si>
  <si>
    <t>1.44</t>
  </si>
  <si>
    <t>Forsvaret og Forsvarsministeriets styrelser</t>
  </si>
  <si>
    <t>Ret FH-Id 1281 til 'Forsvaret og Forsvarsministeriets styrelser' (før 'Forsvarskommandoen') Rasmus--møde dd
647: Undtag TØRENTE hos 1781 Udland for R_8_2 [OAF-15667]</t>
  </si>
  <si>
    <t>Minimum</t>
  </si>
  <si>
    <t>0.0</t>
  </si>
  <si>
    <t>Oprettet versioneret version af TestGenerator</t>
  </si>
  <si>
    <t>0.1</t>
  </si>
  <si>
    <t>Slet unødige faner; Ordn procedurer i kaldrækkefølge, sæt synlighed og slet ubrugt kode</t>
  </si>
  <si>
    <t>0.2</t>
  </si>
  <si>
    <t>0.3</t>
  </si>
  <si>
    <t>Ret fejl ved generering af TC for 4277 ERRELÅN [IS-112846]</t>
  </si>
  <si>
    <t>Fjern unødvendige klasser og moduler [IS-112846]</t>
  </si>
  <si>
    <t>0.4</t>
  </si>
  <si>
    <t>Tilføj default tekst til R_7_11, hvis kommentarfelt er tomt, samt lidt ekstra kommentarer</t>
  </si>
  <si>
    <t>MinimumTest</t>
  </si>
  <si>
    <t>Maximum</t>
  </si>
  <si>
    <t>MaximumTest</t>
  </si>
  <si>
    <t>REJECT</t>
  </si>
  <si>
    <t>0.5</t>
  </si>
  <si>
    <t>Fjern unødvendige klasse Regel og modul Util (eneste brugte funktion Ez kopieret)
Skriv REJECT/CLARIFY, hvis fejl, inkl. BF
Tilføj enums i stedet for magic constants</t>
  </si>
  <si>
    <t>0.6</t>
  </si>
  <si>
    <t>Hvis mainclaimId &lt;&gt; claimId ved RF -&gt; kommentar om RF ikke sætter sin HF (det vides ikke hvilken, den skal relateres til)
RF skal ikke have 0 i minimum hovedstol
Inkluder FOKO i MOD på maximum ';X27-1' 
Fjern uheldig fejl ved hård lukning af UserForms</t>
  </si>
  <si>
    <t>FORDRNG</t>
  </si>
  <si>
    <t>0.7</t>
  </si>
  <si>
    <t>Ved manglende senest-regel brug maks af x antal dage efter ref-dato eller tidligst-dato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</si>
</sst>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0000"/>
      <name val="Calibri"/>
      <family val="2"/>
    </font>
    <font>
      <b/>
      <sz val="11"/>
      <color rgb="FFFA7D00"/>
      <name val="Calibri"/>
      <family val="2"/>
      <scheme val="minor"/>
    </font>
    <font>
      <b/>
      <sz val="11"/>
      <color rgb="FFFA7D00"/>
      <name val="Calibri"/>
      <family val="2"/>
    </font>
    <font>
      <sz val="8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9"/>
      <color indexed="81"/>
      <name val="Tahoma"/>
      <family val="2"/>
    </font>
  </fonts>
  <fills count="32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5FFD3"/>
        <bgColor indexed="64"/>
      </patternFill>
    </fill>
    <fill>
      <patternFill patternType="solid">
        <fgColor rgb="FFC6EFCE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FF000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rgb="FFED7D31"/>
        <bgColor rgb="FF000000"/>
      </patternFill>
    </fill>
    <fill>
      <patternFill patternType="solid">
        <fgColor rgb="FFFFC000"/>
        <bgColor rgb="FF000000"/>
      </patternFill>
    </fill>
    <fill>
      <patternFill patternType="solid">
        <fgColor rgb="FF00B0F0"/>
        <bgColor rgb="FF000000"/>
      </patternFill>
    </fill>
    <fill>
      <patternFill patternType="solid">
        <fgColor rgb="FFE2BBB2"/>
        <bgColor rgb="FF000000"/>
      </patternFill>
    </fill>
    <fill>
      <patternFill patternType="solid">
        <fgColor rgb="FFFFE699"/>
        <bgColor rgb="FFFFFFFF"/>
      </patternFill>
    </fill>
    <fill>
      <patternFill patternType="solid">
        <fgColor rgb="FFC6E0B4"/>
        <bgColor rgb="FF000000"/>
      </patternFill>
    </fill>
    <fill>
      <patternFill patternType="solid">
        <fgColor rgb="FFB4C6E7"/>
        <bgColor rgb="FFFFFFFF"/>
      </patternFill>
    </fill>
    <fill>
      <patternFill patternType="solid">
        <fgColor rgb="FFE1B4E8"/>
        <bgColor rgb="FF000000"/>
      </patternFill>
    </fill>
    <fill>
      <patternFill patternType="solid">
        <fgColor rgb="FF92D050"/>
        <bgColor rgb="FF000000"/>
      </patternFill>
    </fill>
    <fill>
      <patternFill patternType="solid">
        <fgColor rgb="FFF4B084"/>
        <bgColor rgb="FF000000"/>
      </patternFill>
    </fill>
    <fill>
      <patternFill patternType="solid">
        <fgColor rgb="FFF2F2F2"/>
      </patternFill>
    </fill>
    <fill>
      <patternFill patternType="solid">
        <fgColor rgb="FFF2F2F2"/>
        <bgColor rgb="FFFFFFFF"/>
      </patternFill>
    </fill>
    <fill>
      <patternFill patternType="solid">
        <fgColor rgb="FFFCE4D6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E2BBB2"/>
        <bgColor indexed="64"/>
      </patternFill>
    </fill>
  </fills>
  <borders count="24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</borders>
  <cellStyleXfs count="8">
    <xf numFmtId="0" fontId="0" fillId="0" borderId="0"/>
    <xf numFmtId="0" fontId="8" fillId="7" borderId="0" applyNumberFormat="0" applyBorder="0" applyAlignment="0" applyProtection="0"/>
    <xf numFmtId="0" fontId="7" fillId="8" borderId="0" applyNumberFormat="0" applyBorder="0" applyAlignment="0" applyProtection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11" fillId="24" borderId="15" applyNumberFormat="0" applyAlignment="0" applyProtection="0"/>
    <xf numFmtId="14" fontId="7" fillId="0" borderId="4" applyNumberFormat="0"/>
    <xf numFmtId="14" fontId="3" fillId="4" borderId="4"/>
  </cellStyleXfs>
  <cellXfs count="75">
    <xf numFmtId="0" fontId="0" fillId="0" borderId="0" xfId="0"/>
    <xf numFmtId="0" fontId="9" fillId="11" borderId="0" xfId="0" applyFont="1" applyFill="1"/>
    <xf numFmtId="0" fontId="6" fillId="11" borderId="0" xfId="0" applyFont="1" applyFill="1"/>
    <xf numFmtId="0" fontId="6" fillId="0" borderId="0" xfId="0" applyFont="1"/>
    <xf numFmtId="49" fontId="9" fillId="12" borderId="3" xfId="0" applyNumberFormat="1" applyFont="1" applyFill="1" applyBorder="1"/>
    <xf numFmtId="0" fontId="6" fillId="12" borderId="2" xfId="0" applyFont="1" applyFill="1" applyBorder="1"/>
    <xf numFmtId="0" fontId="6" fillId="12" borderId="1" xfId="0" applyFont="1" applyFill="1" applyBorder="1"/>
    <xf numFmtId="0" fontId="9" fillId="13" borderId="3" xfId="0" applyFont="1" applyFill="1" applyBorder="1"/>
    <xf numFmtId="0" fontId="9" fillId="13" borderId="2" xfId="0" applyFont="1" applyFill="1" applyBorder="1"/>
    <xf numFmtId="0" fontId="9" fillId="13" borderId="1" xfId="0" applyFont="1" applyFill="1" applyBorder="1"/>
    <xf numFmtId="0" fontId="6" fillId="13" borderId="2" xfId="0" applyFont="1" applyFill="1" applyBorder="1"/>
    <xf numFmtId="0" fontId="6" fillId="14" borderId="5" xfId="0" applyFont="1" applyFill="1" applyBorder="1" applyAlignment="1">
      <alignment horizontal="left" vertical="center"/>
    </xf>
    <xf numFmtId="0" fontId="6" fillId="14" borderId="0" xfId="0" applyFont="1" applyFill="1" applyAlignment="1">
      <alignment horizontal="left" vertical="center"/>
    </xf>
    <xf numFmtId="0" fontId="10" fillId="15" borderId="6" xfId="0" applyFont="1" applyFill="1" applyBorder="1"/>
    <xf numFmtId="0" fontId="10" fillId="15" borderId="7" xfId="0" applyFont="1" applyFill="1" applyBorder="1"/>
    <xf numFmtId="0" fontId="10" fillId="22" borderId="11" xfId="0" applyFont="1" applyFill="1" applyBorder="1"/>
    <xf numFmtId="0" fontId="10" fillId="22" borderId="12" xfId="0" applyFont="1" applyFill="1" applyBorder="1"/>
    <xf numFmtId="0" fontId="10" fillId="22" borderId="13" xfId="0" applyFont="1" applyFill="1" applyBorder="1"/>
    <xf numFmtId="0" fontId="10" fillId="22" borderId="14" xfId="0" applyFont="1" applyFill="1" applyBorder="1"/>
    <xf numFmtId="0" fontId="10" fillId="16" borderId="14" xfId="0" applyFont="1" applyFill="1" applyBorder="1"/>
    <xf numFmtId="0" fontId="10" fillId="23" borderId="4" xfId="0" applyFont="1" applyFill="1" applyBorder="1" applyAlignment="1">
      <alignment vertical="center"/>
    </xf>
    <xf numFmtId="0" fontId="4" fillId="0" borderId="4" xfId="0" applyFont="1" applyBorder="1"/>
    <xf numFmtId="0" fontId="4" fillId="0" borderId="0" xfId="0" applyFont="1"/>
    <xf numFmtId="0" fontId="4" fillId="0" borderId="9" xfId="0" applyFont="1" applyBorder="1"/>
    <xf numFmtId="14" fontId="5" fillId="0" borderId="9" xfId="1" applyNumberFormat="1" applyFont="1" applyFill="1" applyBorder="1"/>
    <xf numFmtId="14" fontId="5" fillId="0" borderId="9" xfId="0" applyNumberFormat="1" applyFont="1" applyBorder="1"/>
    <xf numFmtId="0" fontId="12" fillId="25" borderId="15" xfId="5" applyNumberFormat="1" applyFont="1" applyFill="1"/>
    <xf numFmtId="0" fontId="12" fillId="25" borderId="4" xfId="5" applyNumberFormat="1" applyFont="1" applyFill="1" applyBorder="1"/>
    <xf numFmtId="1" fontId="4" fillId="0" borderId="4" xfId="0" applyNumberFormat="1" applyFont="1" applyBorder="1"/>
    <xf numFmtId="14" fontId="12" fillId="25" borderId="4" xfId="5" applyNumberFormat="1" applyFont="1" applyFill="1" applyBorder="1"/>
    <xf numFmtId="0" fontId="4" fillId="26" borderId="4" xfId="0" applyFont="1" applyFill="1" applyBorder="1" applyAlignment="1">
      <alignment vertical="center"/>
    </xf>
    <xf numFmtId="0" fontId="4" fillId="26" borderId="4" xfId="0" applyFont="1" applyFill="1" applyBorder="1" applyAlignment="1">
      <alignment vertical="center" wrapText="1"/>
    </xf>
    <xf numFmtId="14" fontId="4" fillId="0" borderId="0" xfId="0" applyNumberFormat="1" applyFont="1"/>
    <xf numFmtId="0" fontId="2" fillId="2" borderId="6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 wrapText="1"/>
    </xf>
    <xf numFmtId="49" fontId="0" fillId="0" borderId="0" xfId="0" applyNumberFormat="1" applyAlignment="1">
      <alignment vertical="center"/>
    </xf>
    <xf numFmtId="14" fontId="0" fillId="0" borderId="9" xfId="0" applyNumberFormat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7" xfId="0" applyBorder="1" applyAlignment="1">
      <alignment vertical="top" wrapText="1"/>
    </xf>
    <xf numFmtId="0" fontId="0" fillId="0" borderId="0" xfId="0" applyAlignment="1">
      <alignment vertical="center"/>
    </xf>
    <xf numFmtId="0" fontId="0" fillId="6" borderId="0" xfId="0" applyFill="1" applyAlignment="1">
      <alignment vertical="center"/>
    </xf>
    <xf numFmtId="1" fontId="0" fillId="0" borderId="0" xfId="0" applyNumberFormat="1" applyAlignment="1">
      <alignment vertical="center"/>
    </xf>
    <xf numFmtId="1" fontId="0" fillId="0" borderId="0" xfId="0" applyNumberFormat="1"/>
    <xf numFmtId="14" fontId="7" fillId="27" borderId="4" xfId="6" applyNumberFormat="1" applyFill="1"/>
    <xf numFmtId="0" fontId="4" fillId="5" borderId="4" xfId="0" applyFont="1" applyFill="1" applyBorder="1"/>
    <xf numFmtId="0" fontId="4" fillId="0" borderId="19" xfId="0" applyFont="1" applyBorder="1"/>
    <xf numFmtId="0" fontId="4" fillId="0" borderId="20" xfId="0" applyFont="1" applyBorder="1"/>
    <xf numFmtId="0" fontId="4" fillId="28" borderId="4" xfId="0" applyFont="1" applyFill="1" applyBorder="1"/>
    <xf numFmtId="0" fontId="10" fillId="16" borderId="12" xfId="0" applyFont="1" applyFill="1" applyBorder="1"/>
    <xf numFmtId="49" fontId="10" fillId="16" borderId="11" xfId="0" applyNumberFormat="1" applyFont="1" applyFill="1" applyBorder="1"/>
    <xf numFmtId="14" fontId="6" fillId="17" borderId="18" xfId="4" applyNumberFormat="1" applyFont="1" applyFill="1" applyBorder="1"/>
    <xf numFmtId="14" fontId="6" fillId="18" borderId="18" xfId="2" applyNumberFormat="1" applyFont="1" applyFill="1" applyBorder="1"/>
    <xf numFmtId="14" fontId="5" fillId="19" borderId="18" xfId="1" applyNumberFormat="1" applyFont="1" applyFill="1" applyBorder="1"/>
    <xf numFmtId="14" fontId="6" fillId="20" borderId="18" xfId="3" applyNumberFormat="1" applyFont="1" applyFill="1" applyBorder="1"/>
    <xf numFmtId="14" fontId="6" fillId="21" borderId="18" xfId="3" applyNumberFormat="1" applyFont="1" applyFill="1" applyBorder="1"/>
    <xf numFmtId="0" fontId="10" fillId="16" borderId="13" xfId="0" applyFont="1" applyFill="1" applyBorder="1"/>
    <xf numFmtId="0" fontId="4" fillId="0" borderId="21" xfId="0" applyFont="1" applyBorder="1"/>
    <xf numFmtId="0" fontId="4" fillId="0" borderId="22" xfId="0" applyFont="1" applyBorder="1"/>
    <xf numFmtId="14" fontId="5" fillId="0" borderId="4" xfId="0" applyNumberFormat="1" applyFont="1" applyBorder="1"/>
    <xf numFmtId="0" fontId="12" fillId="25" borderId="23" xfId="5" applyNumberFormat="1" applyFont="1" applyFill="1" applyBorder="1"/>
    <xf numFmtId="0" fontId="4" fillId="0" borderId="0" xfId="0" applyFont="1" applyAlignment="1">
      <alignment vertical="center"/>
    </xf>
    <xf numFmtId="14" fontId="5" fillId="3" borderId="4" xfId="0" applyNumberFormat="1" applyFont="1" applyFill="1" applyBorder="1"/>
    <xf numFmtId="14" fontId="5" fillId="29" borderId="4" xfId="0" applyNumberFormat="1" applyFont="1" applyFill="1" applyBorder="1"/>
    <xf numFmtId="14" fontId="5" fillId="30" borderId="4" xfId="0" applyNumberFormat="1" applyFont="1" applyFill="1" applyBorder="1"/>
    <xf numFmtId="49" fontId="0" fillId="0" borderId="16" xfId="0" applyNumberFormat="1" applyBorder="1" applyAlignment="1">
      <alignment vertical="top"/>
    </xf>
    <xf numFmtId="0" fontId="14" fillId="0" borderId="16" xfId="0" applyFont="1" applyBorder="1" applyAlignment="1">
      <alignment vertical="top"/>
    </xf>
    <xf numFmtId="14" fontId="14" fillId="0" borderId="9" xfId="0" applyNumberFormat="1" applyFont="1" applyBorder="1" applyAlignment="1">
      <alignment vertical="top"/>
    </xf>
    <xf numFmtId="0" fontId="14" fillId="0" borderId="9" xfId="0" applyFont="1" applyBorder="1" applyAlignment="1">
      <alignment vertical="top"/>
    </xf>
    <xf numFmtId="0" fontId="14" fillId="0" borderId="17" xfId="0" applyFont="1" applyBorder="1" applyAlignment="1">
      <alignment vertical="top" wrapText="1"/>
    </xf>
    <xf numFmtId="0" fontId="14" fillId="0" borderId="9" xfId="0" applyFont="1" applyBorder="1" applyAlignment="1">
      <alignment vertical="top" wrapText="1"/>
    </xf>
    <xf numFmtId="14" fontId="5" fillId="31" borderId="4" xfId="0" applyNumberFormat="1" applyFont="1" applyFill="1" applyBorder="1"/>
    <xf numFmtId="14" fontId="5" fillId="30" borderId="9" xfId="0" applyNumberFormat="1" applyFont="1" applyFill="1" applyBorder="1"/>
    <xf numFmtId="0" fontId="0" fillId="0" borderId="0" xfId="0" applyAlignment="1">
      <alignment vertical="top" wrapText="1"/>
    </xf>
    <xf numFmtId="0" fontId="1" fillId="0" borderId="4" xfId="0" applyFont="1" applyBorder="1"/>
  </cellXfs>
  <cellStyles count="8">
    <cellStyle name="40 % - Farve4" xfId="2" builtinId="43"/>
    <cellStyle name="40 % - Farve5" xfId="3" builtinId="47"/>
    <cellStyle name="40 % - Farve6" xfId="4" builtinId="51"/>
    <cellStyle name="Beregning" xfId="5" builtinId="22"/>
    <cellStyle name="God" xfId="1" builtinId="26"/>
    <cellStyle name="My normal" xfId="6" xr:uid="{A94E1F27-A535-40B8-A691-5482D3BA2661}"/>
    <cellStyle name="Normal" xfId="0" builtinId="0"/>
    <cellStyle name="ORIGINAL" xfId="7" xr:uid="{EA4B5AA1-1921-489E-8872-3D1F7F9CFFD4}"/>
  </cellStyles>
  <dxfs count="17">
    <dxf>
      <fill>
        <patternFill>
          <bgColor theme="8" tint="0.79998168889431442"/>
        </patternFill>
      </fill>
    </dxf>
    <dxf>
      <fill>
        <patternFill>
          <bgColor rgb="FFFFC5C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5C5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rgb="FFFFC5C5"/>
        </patternFill>
      </fill>
    </dxf>
    <dxf>
      <fill>
        <patternFill>
          <bgColor theme="7" tint="0.59996337778862885"/>
        </patternFill>
      </fill>
    </dxf>
    <dxf>
      <fill>
        <patternFill>
          <bgColor rgb="FFFFC5C5"/>
        </patternFill>
      </fill>
    </dxf>
    <dxf>
      <fill>
        <patternFill>
          <bgColor theme="7" tint="0.59996337778862885"/>
        </patternFill>
      </fill>
    </dxf>
    <dxf>
      <fill>
        <patternFill>
          <bgColor rgb="FFFFC5C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FFC5C5"/>
      <color rgb="FFFFBDBD"/>
      <color rgb="FFFFF9CD"/>
      <color rgb="FFFFFFEF"/>
      <color rgb="FFFFFFCC"/>
      <color rgb="FFF5FFD3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</xdr:colOff>
          <xdr:row>0</xdr:row>
          <xdr:rowOff>22860</xdr:rowOff>
        </xdr:from>
        <xdr:to>
          <xdr:col>11</xdr:col>
          <xdr:colOff>441960</xdr:colOff>
          <xdr:row>1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Dan Begge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373380</xdr:colOff>
          <xdr:row>0</xdr:row>
          <xdr:rowOff>22860</xdr:rowOff>
        </xdr:from>
        <xdr:to>
          <xdr:col>5</xdr:col>
          <xdr:colOff>327660</xdr:colOff>
          <xdr:row>1</xdr:row>
          <xdr:rowOff>22860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</a:t>
              </a:r>
            </a:p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0</xdr:row>
          <xdr:rowOff>22860</xdr:rowOff>
        </xdr:from>
        <xdr:to>
          <xdr:col>7</xdr:col>
          <xdr:colOff>68580</xdr:colOff>
          <xdr:row>1</xdr:row>
          <xdr:rowOff>22860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0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388620</xdr:colOff>
          <xdr:row>0</xdr:row>
          <xdr:rowOff>22860</xdr:rowOff>
        </xdr:from>
        <xdr:to>
          <xdr:col>14</xdr:col>
          <xdr:colOff>22860</xdr:colOff>
          <xdr:row>1</xdr:row>
          <xdr:rowOff>38100</xdr:rowOff>
        </xdr:to>
        <xdr:sp macro="" textlink="">
          <xdr:nvSpPr>
            <xdr:cNvPr id="12369" name="Button 81" hidden="1">
              <a:extLst>
                <a:ext uri="{63B3BB69-23CF-44E3-9099-C40C66FF867C}">
                  <a14:compatExt spid="_x0000_s12369"/>
                </a:ext>
                <a:ext uri="{FF2B5EF4-FFF2-40B4-BE49-F238E27FC236}">
                  <a16:creationId xmlns:a16="http://schemas.microsoft.com/office/drawing/2014/main" id="{00000000-0008-0000-0000-00005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Dan TC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7">
    <pageSetUpPr autoPageBreaks="0"/>
  </sheetPr>
  <dimension ref="A1:AE11"/>
  <sheetViews>
    <sheetView tabSelected="1" workbookViewId="0"/>
  </sheetViews>
  <sheetFormatPr defaultRowHeight="14.4" x14ac:dyDescent="0.3"/>
  <cols>
    <col min="1" max="1" width="2.5546875" customWidth="1"/>
    <col min="3" max="3" width="0.88671875" customWidth="1"/>
    <col min="4" max="4" width="2.5546875" customWidth="1"/>
    <col min="5" max="7" width="5.88671875" customWidth="1"/>
    <col min="9" max="9" width="3.109375" customWidth="1"/>
    <col min="12" max="17" width="10.109375" customWidth="1"/>
    <col min="18" max="18" width="2.88671875" customWidth="1"/>
    <col min="19" max="19" width="1" customWidth="1"/>
    <col min="20" max="20" width="2.88671875" customWidth="1"/>
    <col min="21" max="21" width="3.109375" customWidth="1"/>
    <col min="22" max="22" width="3" customWidth="1"/>
    <col min="23" max="24" width="10.109375" customWidth="1"/>
    <col min="25" max="26" width="10.109375" bestFit="1" customWidth="1"/>
    <col min="27" max="27" width="0.88671875" customWidth="1"/>
    <col min="28" max="28" width="21.109375" bestFit="1" customWidth="1"/>
  </cols>
  <sheetData>
    <row r="1" spans="1:31" ht="15" thickBot="1" x14ac:dyDescent="0.35">
      <c r="A1" s="1" t="s">
        <v>1</v>
      </c>
      <c r="B1" s="2"/>
      <c r="C1" s="3"/>
      <c r="D1" s="4" t="s">
        <v>2</v>
      </c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6"/>
      <c r="S1" s="3"/>
      <c r="T1" s="7" t="s">
        <v>3</v>
      </c>
      <c r="U1" s="8"/>
      <c r="V1" s="9"/>
      <c r="W1" s="8"/>
      <c r="X1" s="10"/>
      <c r="Y1" s="8"/>
      <c r="Z1" s="8"/>
      <c r="AA1" s="3"/>
      <c r="AB1" s="11" t="s">
        <v>4</v>
      </c>
      <c r="AC1" s="12"/>
      <c r="AD1" s="12"/>
      <c r="AE1" s="12"/>
    </row>
    <row r="2" spans="1:31" ht="15" thickBot="1" x14ac:dyDescent="0.35">
      <c r="A2" s="13">
        <v>0</v>
      </c>
      <c r="B2" s="14" t="s">
        <v>5</v>
      </c>
      <c r="C2" s="3"/>
      <c r="D2" s="50" t="s">
        <v>1668</v>
      </c>
      <c r="E2" s="49" t="s">
        <v>6</v>
      </c>
      <c r="F2" s="49" t="s">
        <v>7</v>
      </c>
      <c r="G2" s="49" t="s">
        <v>8</v>
      </c>
      <c r="H2" s="49" t="s">
        <v>9</v>
      </c>
      <c r="I2" s="49" t="s">
        <v>10</v>
      </c>
      <c r="J2" s="49" t="s">
        <v>11</v>
      </c>
      <c r="K2" s="49" t="s">
        <v>12</v>
      </c>
      <c r="L2" s="49" t="s">
        <v>13</v>
      </c>
      <c r="M2" s="51" t="s">
        <v>14</v>
      </c>
      <c r="N2" s="52" t="s">
        <v>15</v>
      </c>
      <c r="O2" s="53" t="s">
        <v>16</v>
      </c>
      <c r="P2" s="54" t="s">
        <v>17</v>
      </c>
      <c r="Q2" s="55" t="s">
        <v>18</v>
      </c>
      <c r="R2" s="56" t="s">
        <v>19</v>
      </c>
      <c r="S2" s="3"/>
      <c r="T2" s="15" t="s">
        <v>20</v>
      </c>
      <c r="U2" s="16" t="s">
        <v>21</v>
      </c>
      <c r="V2" s="17" t="s">
        <v>22</v>
      </c>
      <c r="W2" s="16" t="s">
        <v>23</v>
      </c>
      <c r="X2" s="16" t="s">
        <v>24</v>
      </c>
      <c r="Y2" s="18" t="s">
        <v>25</v>
      </c>
      <c r="Z2" s="19" t="s">
        <v>26</v>
      </c>
      <c r="AA2" s="3"/>
      <c r="AB2" s="20" t="s">
        <v>27</v>
      </c>
      <c r="AC2" s="20" t="s">
        <v>0</v>
      </c>
      <c r="AD2" s="20" t="s">
        <v>28</v>
      </c>
      <c r="AE2" s="20" t="s">
        <v>29</v>
      </c>
    </row>
    <row r="3" spans="1:31" s="22" customFormat="1" x14ac:dyDescent="0.3">
      <c r="A3" s="21">
        <f>A2+1</f>
        <v>1</v>
      </c>
      <c r="B3" s="45" t="s">
        <v>30</v>
      </c>
      <c r="D3" s="21">
        <f>D2+1</f>
        <v>1</v>
      </c>
      <c r="E3" s="21">
        <f>F3</f>
        <v>1234</v>
      </c>
      <c r="F3" s="21">
        <v>1234</v>
      </c>
      <c r="G3" s="21">
        <v>9999</v>
      </c>
      <c r="H3" s="74" t="s">
        <v>31</v>
      </c>
      <c r="I3" s="57" t="s">
        <v>1666</v>
      </c>
      <c r="J3" s="48" t="s">
        <v>1667</v>
      </c>
      <c r="K3" s="58"/>
      <c r="L3" s="44">
        <f>MAX(O3:Q3,X3-1)+1</f>
        <v>2</v>
      </c>
      <c r="M3" s="59"/>
      <c r="N3" s="59"/>
      <c r="O3" s="59">
        <v>1</v>
      </c>
      <c r="P3" s="59">
        <v>1</v>
      </c>
      <c r="Q3" s="59">
        <v>1</v>
      </c>
      <c r="R3" s="60">
        <f>D3</f>
        <v>1</v>
      </c>
      <c r="T3" s="27">
        <f>D3</f>
        <v>1</v>
      </c>
      <c r="U3" s="28">
        <v>1101009999</v>
      </c>
      <c r="V3" s="21" t="s">
        <v>33</v>
      </c>
      <c r="W3" s="29">
        <f>L3</f>
        <v>2</v>
      </c>
      <c r="X3" s="25">
        <v>1</v>
      </c>
      <c r="Y3" s="32"/>
      <c r="AB3" s="30"/>
      <c r="AC3" s="30"/>
      <c r="AD3" s="31"/>
      <c r="AE3" s="30"/>
    </row>
    <row r="4" spans="1:31" s="22" customFormat="1" x14ac:dyDescent="0.3">
      <c r="A4" s="21">
        <f>A3+1</f>
        <v>2</v>
      </c>
      <c r="B4" s="45" t="s">
        <v>30</v>
      </c>
      <c r="D4" s="21">
        <f>D3+1</f>
        <v>2</v>
      </c>
      <c r="E4" s="21">
        <f>F4</f>
        <v>1000</v>
      </c>
      <c r="F4" s="23">
        <f>1000</f>
        <v>1000</v>
      </c>
      <c r="G4" s="23">
        <v>2490</v>
      </c>
      <c r="H4" s="74" t="s">
        <v>31</v>
      </c>
      <c r="I4" s="46" t="s">
        <v>32</v>
      </c>
      <c r="J4" s="48" t="s">
        <v>1664</v>
      </c>
      <c r="K4" s="47" t="s">
        <v>1665</v>
      </c>
      <c r="L4" s="44">
        <f>MAX(O4:Q4)+1</f>
        <v>43467</v>
      </c>
      <c r="M4" s="25">
        <v>43466</v>
      </c>
      <c r="N4" s="25">
        <f>DATE(YEAR(M4)+1,MONTH(M4)+0,DAY(M4)+-1)</f>
        <v>43830</v>
      </c>
      <c r="O4" s="25">
        <f>DATE(YEAR(M4)+0,MONTH(M4)+0,DAY(M4)+0)</f>
        <v>43466</v>
      </c>
      <c r="P4" s="24">
        <f>DATE(YEAR(O4)+0,MONTH(O4)+0,DAY(O4)+0)</f>
        <v>43466</v>
      </c>
      <c r="Q4" s="24">
        <f>DATE(YEAR(P4)+0,MONTH(P4)+0,DAY(P4)+0)</f>
        <v>43466</v>
      </c>
      <c r="R4" s="26">
        <f>D4</f>
        <v>2</v>
      </c>
      <c r="T4" s="27">
        <f>D4</f>
        <v>2</v>
      </c>
      <c r="U4" s="28">
        <v>1101009999</v>
      </c>
      <c r="V4" s="21" t="s">
        <v>33</v>
      </c>
      <c r="W4" s="29">
        <f>L4</f>
        <v>43467</v>
      </c>
      <c r="X4" s="24">
        <f>DATE(YEAR(P4)+3,MONTH(P4)+0,DAY(P4)+0)</f>
        <v>44562</v>
      </c>
      <c r="Y4" s="32"/>
      <c r="AB4" s="30"/>
      <c r="AC4" s="30"/>
      <c r="AD4" s="31" t="s">
        <v>34</v>
      </c>
      <c r="AE4" s="30"/>
    </row>
    <row r="5" spans="1:31" s="22" customFormat="1" x14ac:dyDescent="0.3">
      <c r="F5" s="22" t="s">
        <v>35</v>
      </c>
      <c r="G5" s="22" t="s">
        <v>35</v>
      </c>
      <c r="I5" s="22" t="s">
        <v>35</v>
      </c>
      <c r="J5" s="22" t="s">
        <v>35</v>
      </c>
      <c r="K5" s="22" t="s">
        <v>35</v>
      </c>
      <c r="L5" s="22" t="s">
        <v>35</v>
      </c>
      <c r="M5" s="22" t="s">
        <v>35</v>
      </c>
      <c r="N5" s="22" t="s">
        <v>35</v>
      </c>
      <c r="O5" s="22" t="s">
        <v>35</v>
      </c>
      <c r="P5" s="22" t="s">
        <v>35</v>
      </c>
      <c r="Q5" s="22" t="s">
        <v>35</v>
      </c>
      <c r="X5" s="22" t="s">
        <v>35</v>
      </c>
      <c r="Y5" s="22" t="s">
        <v>35</v>
      </c>
      <c r="Z5" s="22" t="s">
        <v>35</v>
      </c>
    </row>
    <row r="6" spans="1:31" x14ac:dyDescent="0.3">
      <c r="A6">
        <v>1</v>
      </c>
      <c r="B6">
        <v>2</v>
      </c>
      <c r="C6">
        <v>3</v>
      </c>
      <c r="D6">
        <v>4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</row>
    <row r="7" spans="1:31" ht="21" customHeight="1" x14ac:dyDescent="0.3"/>
    <row r="8" spans="1:31" x14ac:dyDescent="0.3">
      <c r="A8" s="21">
        <f>A7+1</f>
        <v>1</v>
      </c>
      <c r="B8" s="45" t="s">
        <v>30</v>
      </c>
      <c r="C8" s="22"/>
      <c r="D8" s="21">
        <f>D7+1</f>
        <v>1</v>
      </c>
      <c r="E8" s="21">
        <f>F8</f>
        <v>1234</v>
      </c>
      <c r="F8" s="21">
        <v>1234</v>
      </c>
      <c r="G8" s="21">
        <v>9999</v>
      </c>
      <c r="H8" s="74" t="s">
        <v>31</v>
      </c>
      <c r="I8" s="57" t="s">
        <v>32</v>
      </c>
      <c r="J8" s="48" t="s">
        <v>1691</v>
      </c>
      <c r="K8" s="58"/>
      <c r="L8" s="44">
        <f>MAX(O8:Q8)+1</f>
        <v>43467</v>
      </c>
      <c r="M8" s="62">
        <v>43497</v>
      </c>
      <c r="N8" s="71">
        <f>DATE(YEAR(M8)+1,MONTH(M8)+0,DAY(M8)+0)</f>
        <v>43862</v>
      </c>
      <c r="O8" s="62">
        <v>43466</v>
      </c>
      <c r="P8" s="63">
        <f>DATE(YEAR(O8)+0,MONTH(O8)+0,DAY(O8)+0)</f>
        <v>43466</v>
      </c>
      <c r="Q8" s="64">
        <f>DATE(YEAR(P8)+0,MONTH(P8)+0,DAY(P8)+0)</f>
        <v>43466</v>
      </c>
      <c r="R8" s="60">
        <f>D8</f>
        <v>1</v>
      </c>
      <c r="S8" s="22"/>
      <c r="T8" s="27">
        <f>D8</f>
        <v>1</v>
      </c>
      <c r="U8" s="28">
        <v>1101009999</v>
      </c>
      <c r="V8" s="21" t="s">
        <v>33</v>
      </c>
      <c r="W8" s="29">
        <f>L8</f>
        <v>43467</v>
      </c>
      <c r="X8" s="72">
        <f>DATE(YEAR(P8)+3,MONTH(P8)+0,DAY(P8)+0)</f>
        <v>44562</v>
      </c>
      <c r="Y8" s="32"/>
      <c r="Z8" s="22"/>
      <c r="AA8" s="22"/>
      <c r="AB8" s="30" t="s">
        <v>1672</v>
      </c>
      <c r="AC8" s="30"/>
      <c r="AD8" s="31"/>
      <c r="AE8" s="30"/>
    </row>
    <row r="9" spans="1:31" x14ac:dyDescent="0.3">
      <c r="A9" s="21">
        <f>A8+1</f>
        <v>2</v>
      </c>
      <c r="B9" s="45" t="s">
        <v>30</v>
      </c>
      <c r="C9" s="22"/>
      <c r="D9" s="21">
        <f>D8+1</f>
        <v>2</v>
      </c>
      <c r="E9" s="21">
        <f>F9</f>
        <v>1234</v>
      </c>
      <c r="F9" s="21">
        <v>1234</v>
      </c>
      <c r="G9" s="21">
        <v>9999</v>
      </c>
      <c r="H9" s="74" t="s">
        <v>31</v>
      </c>
      <c r="I9" s="57" t="s">
        <v>32</v>
      </c>
      <c r="J9" s="48" t="s">
        <v>1691</v>
      </c>
      <c r="K9" s="58"/>
      <c r="L9" s="44">
        <f>MAX(O9:Q9,X9-1)+1</f>
        <v>44564</v>
      </c>
      <c r="M9" s="62">
        <v>43497</v>
      </c>
      <c r="N9" s="71">
        <f>DATE(YEAR(M9)+1,MONTH(M9)+0,DAY(M9)+0)</f>
        <v>43862</v>
      </c>
      <c r="O9" s="62">
        <v>43466</v>
      </c>
      <c r="P9" s="63">
        <f>DATE(YEAR(O9)+0,MONTH(O9)+0,DAY(O9)+0)</f>
        <v>43466</v>
      </c>
      <c r="Q9" s="64">
        <f>MAX(Q8,DATE(YEAR(P9),MONTH(P9)+0,DAY(P9)+14))</f>
        <v>43480</v>
      </c>
      <c r="R9" s="60">
        <f>D9</f>
        <v>2</v>
      </c>
      <c r="S9" s="22"/>
      <c r="T9" s="27">
        <f>D9</f>
        <v>2</v>
      </c>
      <c r="U9" s="28">
        <v>1101009999</v>
      </c>
      <c r="V9" s="21" t="s">
        <v>33</v>
      </c>
      <c r="W9" s="29">
        <f>L9</f>
        <v>44564</v>
      </c>
      <c r="X9" s="72">
        <f>WORKDAY(DATE(YEAR(P9)+3,MONTH(P9)+0,DAY(P9)+0)-1,1)</f>
        <v>44564</v>
      </c>
      <c r="Y9" s="32"/>
      <c r="Z9" s="22"/>
      <c r="AA9" s="22"/>
      <c r="AB9" s="30" t="s">
        <v>1684</v>
      </c>
      <c r="AC9" s="30"/>
      <c r="AD9" s="31"/>
      <c r="AE9" s="30"/>
    </row>
    <row r="10" spans="1:31" x14ac:dyDescent="0.3">
      <c r="A10" s="21">
        <f>A9+1</f>
        <v>3</v>
      </c>
      <c r="B10" s="45" t="s">
        <v>1686</v>
      </c>
      <c r="C10" s="22"/>
      <c r="D10" s="21">
        <f>D9+1</f>
        <v>3</v>
      </c>
      <c r="E10" s="21">
        <f>F10</f>
        <v>1234</v>
      </c>
      <c r="F10" s="21">
        <v>1234</v>
      </c>
      <c r="G10" s="21">
        <v>9999</v>
      </c>
      <c r="H10" s="74" t="s">
        <v>31</v>
      </c>
      <c r="I10" s="57" t="s">
        <v>32</v>
      </c>
      <c r="J10" s="48" t="s">
        <v>1691</v>
      </c>
      <c r="K10" s="58"/>
      <c r="L10" s="44">
        <f>MAX(O10:Q10)+1</f>
        <v>43467</v>
      </c>
      <c r="M10" s="62">
        <v>43497</v>
      </c>
      <c r="N10" s="71">
        <f>DATE(YEAR(M10)+1,MONTH(M10)+0,DAY(M10)+0)-1</f>
        <v>43861</v>
      </c>
      <c r="O10" s="62">
        <v>43466</v>
      </c>
      <c r="P10" s="63">
        <f>DATE(YEAR(O10)+0,MONTH(O10)+0,DAY(O10)+0)-1</f>
        <v>43465</v>
      </c>
      <c r="Q10" s="64">
        <f>DATE(YEAR(P10)+0,MONTH(P10)+0,DAY(P10)+0)-1</f>
        <v>43464</v>
      </c>
      <c r="R10" s="60">
        <f>D10</f>
        <v>3</v>
      </c>
      <c r="S10" s="22"/>
      <c r="T10" s="27">
        <f>D10</f>
        <v>3</v>
      </c>
      <c r="U10" s="28">
        <v>1101009999</v>
      </c>
      <c r="V10" s="21" t="s">
        <v>33</v>
      </c>
      <c r="W10" s="29">
        <f>L10</f>
        <v>43467</v>
      </c>
      <c r="X10" s="72">
        <f>DATE(YEAR(P10)+3,MONTH(P10)+0,DAY(P10)+0)-1</f>
        <v>44560</v>
      </c>
      <c r="Y10" s="32"/>
      <c r="Z10" s="22"/>
      <c r="AA10" s="22"/>
      <c r="AB10" s="30" t="s">
        <v>1683</v>
      </c>
      <c r="AC10" s="30"/>
      <c r="AD10" s="31"/>
      <c r="AE10" s="30"/>
    </row>
    <row r="11" spans="1:31" x14ac:dyDescent="0.3">
      <c r="A11" s="21">
        <f>A10+1</f>
        <v>4</v>
      </c>
      <c r="B11" s="45" t="s">
        <v>1686</v>
      </c>
      <c r="C11" s="22"/>
      <c r="D11" s="21">
        <f>D10+1</f>
        <v>4</v>
      </c>
      <c r="E11" s="21">
        <f>F11</f>
        <v>1234</v>
      </c>
      <c r="F11" s="21">
        <v>1234</v>
      </c>
      <c r="G11" s="21">
        <v>9999</v>
      </c>
      <c r="H11" s="74" t="s">
        <v>31</v>
      </c>
      <c r="I11" s="57" t="s">
        <v>32</v>
      </c>
      <c r="J11" s="48" t="s">
        <v>1691</v>
      </c>
      <c r="K11" s="58"/>
      <c r="L11" s="44">
        <f>MAX(O11:Q11,X11-1)+1</f>
        <v>44565</v>
      </c>
      <c r="M11" s="62">
        <v>43497</v>
      </c>
      <c r="N11" s="71">
        <f>DATE(YEAR(M11)+1,MONTH(M11)+0,DAY(M11)+0)+1</f>
        <v>43863</v>
      </c>
      <c r="O11" s="62">
        <v>43466</v>
      </c>
      <c r="P11" s="63">
        <f>DATE(YEAR(O11)+0,MONTH(O11)+0,DAY(O11)+0)+1</f>
        <v>43467</v>
      </c>
      <c r="Q11" s="64">
        <f>MAX(Q10,DATE(YEAR(P11),MONTH(P11)+0,DAY(P11)+14))+1</f>
        <v>43482</v>
      </c>
      <c r="R11" s="60">
        <f>D11</f>
        <v>4</v>
      </c>
      <c r="S11" s="22"/>
      <c r="T11" s="27">
        <f>D11</f>
        <v>4</v>
      </c>
      <c r="U11" s="28">
        <v>1101009999</v>
      </c>
      <c r="V11" s="21" t="s">
        <v>33</v>
      </c>
      <c r="W11" s="29">
        <f>L11</f>
        <v>44565</v>
      </c>
      <c r="X11" s="72">
        <f>WORKDAY(DATE(YEAR(P11)+3,MONTH(P11)+0,DAY(P11)+0)-1,1)+1</f>
        <v>44565</v>
      </c>
      <c r="Y11" s="32"/>
      <c r="Z11" s="22"/>
      <c r="AA11" s="22"/>
      <c r="AB11" s="30" t="s">
        <v>1685</v>
      </c>
      <c r="AC11" s="30"/>
      <c r="AD11" s="31"/>
      <c r="AE11" s="30"/>
    </row>
  </sheetData>
  <dataConsolidate/>
  <conditionalFormatting sqref="B3:B9">
    <cfRule type="cellIs" dxfId="16" priority="251" operator="equal">
      <formula>"CLARIFY"</formula>
    </cfRule>
    <cfRule type="cellIs" dxfId="15" priority="252" operator="equal">
      <formula>"REJECT"</formula>
    </cfRule>
  </conditionalFormatting>
  <conditionalFormatting sqref="H3:H4">
    <cfRule type="cellIs" dxfId="9" priority="10" operator="equal">
      <formula>"MODR"</formula>
    </cfRule>
  </conditionalFormatting>
  <conditionalFormatting sqref="H8">
    <cfRule type="cellIs" dxfId="7" priority="8" operator="equal">
      <formula>"MODR"</formula>
    </cfRule>
  </conditionalFormatting>
  <conditionalFormatting sqref="B10">
    <cfRule type="cellIs" dxfId="6" priority="6" operator="equal">
      <formula>"CLARIFY"</formula>
    </cfRule>
    <cfRule type="cellIs" dxfId="5" priority="7" operator="equal">
      <formula>"REJECT"</formula>
    </cfRule>
  </conditionalFormatting>
  <conditionalFormatting sqref="H10">
    <cfRule type="cellIs" dxfId="4" priority="5" operator="equal">
      <formula>"MODR"</formula>
    </cfRule>
  </conditionalFormatting>
  <conditionalFormatting sqref="H9">
    <cfRule type="cellIs" dxfId="3" priority="4" operator="equal">
      <formula>"MODR"</formula>
    </cfRule>
  </conditionalFormatting>
  <conditionalFormatting sqref="B11">
    <cfRule type="cellIs" dxfId="2" priority="2" operator="equal">
      <formula>"CLARIFY"</formula>
    </cfRule>
    <cfRule type="cellIs" dxfId="1" priority="3" operator="equal">
      <formula>"REJECT"</formula>
    </cfRule>
  </conditionalFormatting>
  <conditionalFormatting sqref="H11">
    <cfRule type="cellIs" dxfId="0" priority="1" operator="equal">
      <formula>"MODR"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DanBegge">
                <anchor moveWithCells="1" siz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11</xdr:col>
                    <xdr:colOff>441960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DanMinimum">
                <anchor moveWithCells="1" sizeWithCells="1">
                  <from>
                    <xdr:col>4</xdr:col>
                    <xdr:colOff>373380</xdr:colOff>
                    <xdr:row>0</xdr:row>
                    <xdr:rowOff>22860</xdr:rowOff>
                  </from>
                  <to>
                    <xdr:col>5</xdr:col>
                    <xdr:colOff>327660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6" name="Button 6">
              <controlPr defaultSize="0" print="0" autoFill="0" autoPict="0" macro="[0]!DanMaximum">
                <anchor moveWithCells="1" sizeWithCells="1">
                  <from>
                    <xdr:col>6</xdr:col>
                    <xdr:colOff>114300</xdr:colOff>
                    <xdr:row>0</xdr:row>
                    <xdr:rowOff>22860</xdr:rowOff>
                  </from>
                  <to>
                    <xdr:col>7</xdr:col>
                    <xdr:colOff>68580</xdr:colOff>
                    <xdr:row>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7" name="Button 81">
              <controlPr defaultSize="0" print="0" autoFill="0" autoPict="0" macro="[0]!DanTCBegge">
                <anchor moveWithCells="1" sizeWithCells="1">
                  <from>
                    <xdr:col>12</xdr:col>
                    <xdr:colOff>388620</xdr:colOff>
                    <xdr:row>0</xdr:row>
                    <xdr:rowOff>22860</xdr:rowOff>
                  </from>
                  <to>
                    <xdr:col>14</xdr:col>
                    <xdr:colOff>22860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336DF-71F2-45E9-A9BF-E2BB33A47F5E}">
  <sheetPr codeName="Ark9">
    <pageSetUpPr autoPageBreaks="0"/>
  </sheetPr>
  <dimension ref="A1:D1564"/>
  <sheetViews>
    <sheetView topLeftCell="A164" workbookViewId="0">
      <selection activeCell="B179" sqref="B179"/>
    </sheetView>
  </sheetViews>
  <sheetFormatPr defaultRowHeight="14.4" x14ac:dyDescent="0.3"/>
  <cols>
    <col min="1" max="1" width="8.88671875" style="43"/>
    <col min="2" max="2" width="89.33203125" bestFit="1" customWidth="1"/>
  </cols>
  <sheetData>
    <row r="1" spans="1:2" x14ac:dyDescent="0.3">
      <c r="A1" s="42">
        <v>21</v>
      </c>
      <c r="B1" s="40" t="s">
        <v>72</v>
      </c>
    </row>
    <row r="2" spans="1:2" x14ac:dyDescent="0.3">
      <c r="A2" s="42">
        <v>41</v>
      </c>
      <c r="B2" s="40" t="s">
        <v>73</v>
      </c>
    </row>
    <row r="3" spans="1:2" x14ac:dyDescent="0.3">
      <c r="A3" s="42">
        <v>61</v>
      </c>
      <c r="B3" s="40" t="s">
        <v>74</v>
      </c>
    </row>
    <row r="4" spans="1:2" x14ac:dyDescent="0.3">
      <c r="A4" s="42">
        <v>1000</v>
      </c>
      <c r="B4" s="40" t="s">
        <v>75</v>
      </c>
    </row>
    <row r="5" spans="1:2" x14ac:dyDescent="0.3">
      <c r="A5" s="42">
        <v>1001</v>
      </c>
      <c r="B5" s="40" t="s">
        <v>76</v>
      </c>
    </row>
    <row r="6" spans="1:2" x14ac:dyDescent="0.3">
      <c r="A6" s="42">
        <v>1002</v>
      </c>
      <c r="B6" s="40" t="s">
        <v>77</v>
      </c>
    </row>
    <row r="7" spans="1:2" x14ac:dyDescent="0.3">
      <c r="A7" s="42">
        <v>1005</v>
      </c>
      <c r="B7" s="40" t="s">
        <v>78</v>
      </c>
    </row>
    <row r="8" spans="1:2" x14ac:dyDescent="0.3">
      <c r="A8" s="42">
        <v>1006</v>
      </c>
      <c r="B8" s="40" t="s">
        <v>79</v>
      </c>
    </row>
    <row r="9" spans="1:2" x14ac:dyDescent="0.3">
      <c r="A9" s="42">
        <v>1010</v>
      </c>
      <c r="B9" s="40" t="s">
        <v>80</v>
      </c>
    </row>
    <row r="10" spans="1:2" x14ac:dyDescent="0.3">
      <c r="A10" s="42">
        <v>1019</v>
      </c>
      <c r="B10" s="40" t="s">
        <v>81</v>
      </c>
    </row>
    <row r="11" spans="1:2" x14ac:dyDescent="0.3">
      <c r="A11" s="42">
        <v>1020</v>
      </c>
      <c r="B11" s="40" t="s">
        <v>82</v>
      </c>
    </row>
    <row r="12" spans="1:2" x14ac:dyDescent="0.3">
      <c r="A12" s="42">
        <v>1021</v>
      </c>
      <c r="B12" s="40" t="s">
        <v>83</v>
      </c>
    </row>
    <row r="13" spans="1:2" x14ac:dyDescent="0.3">
      <c r="A13" s="42">
        <v>1022</v>
      </c>
      <c r="B13" s="40" t="s">
        <v>84</v>
      </c>
    </row>
    <row r="14" spans="1:2" x14ac:dyDescent="0.3">
      <c r="A14" s="42">
        <v>1023</v>
      </c>
      <c r="B14" s="40" t="s">
        <v>85</v>
      </c>
    </row>
    <row r="15" spans="1:2" x14ac:dyDescent="0.3">
      <c r="A15" s="42">
        <v>1024</v>
      </c>
      <c r="B15" s="40" t="s">
        <v>86</v>
      </c>
    </row>
    <row r="16" spans="1:2" x14ac:dyDescent="0.3">
      <c r="A16" s="42">
        <v>1026</v>
      </c>
      <c r="B16" s="40" t="s">
        <v>87</v>
      </c>
    </row>
    <row r="17" spans="1:2" x14ac:dyDescent="0.3">
      <c r="A17" s="42">
        <v>1027</v>
      </c>
      <c r="B17" s="40" t="s">
        <v>88</v>
      </c>
    </row>
    <row r="18" spans="1:2" x14ac:dyDescent="0.3">
      <c r="A18" s="42">
        <v>1028</v>
      </c>
      <c r="B18" s="40" t="s">
        <v>89</v>
      </c>
    </row>
    <row r="19" spans="1:2" x14ac:dyDescent="0.3">
      <c r="A19" s="42">
        <v>1029</v>
      </c>
      <c r="B19" s="40" t="s">
        <v>90</v>
      </c>
    </row>
    <row r="20" spans="1:2" x14ac:dyDescent="0.3">
      <c r="A20" s="42">
        <v>1030</v>
      </c>
      <c r="B20" s="40" t="s">
        <v>91</v>
      </c>
    </row>
    <row r="21" spans="1:2" x14ac:dyDescent="0.3">
      <c r="A21" s="42">
        <v>1031</v>
      </c>
      <c r="B21" s="40" t="s">
        <v>92</v>
      </c>
    </row>
    <row r="22" spans="1:2" x14ac:dyDescent="0.3">
      <c r="A22" s="42">
        <v>1033</v>
      </c>
      <c r="B22" s="40" t="s">
        <v>93</v>
      </c>
    </row>
    <row r="23" spans="1:2" x14ac:dyDescent="0.3">
      <c r="A23" s="42">
        <v>1034</v>
      </c>
      <c r="B23" s="40" t="s">
        <v>94</v>
      </c>
    </row>
    <row r="24" spans="1:2" x14ac:dyDescent="0.3">
      <c r="A24" s="42">
        <v>1036</v>
      </c>
      <c r="B24" s="40" t="s">
        <v>95</v>
      </c>
    </row>
    <row r="25" spans="1:2" x14ac:dyDescent="0.3">
      <c r="A25" s="42">
        <v>1037</v>
      </c>
      <c r="B25" s="40" t="s">
        <v>96</v>
      </c>
    </row>
    <row r="26" spans="1:2" x14ac:dyDescent="0.3">
      <c r="A26" s="42">
        <v>1038</v>
      </c>
      <c r="B26" s="40" t="s">
        <v>97</v>
      </c>
    </row>
    <row r="27" spans="1:2" x14ac:dyDescent="0.3">
      <c r="A27" s="42">
        <v>1039</v>
      </c>
      <c r="B27" s="40" t="s">
        <v>98</v>
      </c>
    </row>
    <row r="28" spans="1:2" x14ac:dyDescent="0.3">
      <c r="A28" s="42">
        <v>1040</v>
      </c>
      <c r="B28" s="40" t="s">
        <v>99</v>
      </c>
    </row>
    <row r="29" spans="1:2" x14ac:dyDescent="0.3">
      <c r="A29" s="42">
        <v>1044</v>
      </c>
      <c r="B29" s="40" t="s">
        <v>100</v>
      </c>
    </row>
    <row r="30" spans="1:2" x14ac:dyDescent="0.3">
      <c r="A30" s="42">
        <v>1048</v>
      </c>
      <c r="B30" s="40" t="s">
        <v>101</v>
      </c>
    </row>
    <row r="31" spans="1:2" x14ac:dyDescent="0.3">
      <c r="A31" s="42">
        <v>1049</v>
      </c>
      <c r="B31" s="40" t="s">
        <v>102</v>
      </c>
    </row>
    <row r="32" spans="1:2" x14ac:dyDescent="0.3">
      <c r="A32" s="42">
        <v>1051</v>
      </c>
      <c r="B32" s="40" t="s">
        <v>103</v>
      </c>
    </row>
    <row r="33" spans="1:2" x14ac:dyDescent="0.3">
      <c r="A33" s="42">
        <v>1053</v>
      </c>
      <c r="B33" s="40" t="s">
        <v>104</v>
      </c>
    </row>
    <row r="34" spans="1:2" x14ac:dyDescent="0.3">
      <c r="A34" s="42">
        <v>1056</v>
      </c>
      <c r="B34" s="40" t="s">
        <v>105</v>
      </c>
    </row>
    <row r="35" spans="1:2" x14ac:dyDescent="0.3">
      <c r="A35" s="42">
        <v>1057</v>
      </c>
      <c r="B35" s="40" t="s">
        <v>106</v>
      </c>
    </row>
    <row r="36" spans="1:2" x14ac:dyDescent="0.3">
      <c r="A36" s="42">
        <v>1058</v>
      </c>
      <c r="B36" s="40" t="s">
        <v>107</v>
      </c>
    </row>
    <row r="37" spans="1:2" x14ac:dyDescent="0.3">
      <c r="A37" s="42">
        <v>1059</v>
      </c>
      <c r="B37" s="40" t="s">
        <v>108</v>
      </c>
    </row>
    <row r="38" spans="1:2" x14ac:dyDescent="0.3">
      <c r="A38" s="42">
        <v>1060</v>
      </c>
      <c r="B38" s="40" t="s">
        <v>109</v>
      </c>
    </row>
    <row r="39" spans="1:2" x14ac:dyDescent="0.3">
      <c r="A39" s="42">
        <v>1061</v>
      </c>
      <c r="B39" s="40" t="s">
        <v>110</v>
      </c>
    </row>
    <row r="40" spans="1:2" x14ac:dyDescent="0.3">
      <c r="A40" s="42">
        <v>1062</v>
      </c>
      <c r="B40" s="40" t="s">
        <v>111</v>
      </c>
    </row>
    <row r="41" spans="1:2" x14ac:dyDescent="0.3">
      <c r="A41" s="42">
        <v>1063</v>
      </c>
      <c r="B41" s="40" t="s">
        <v>112</v>
      </c>
    </row>
    <row r="42" spans="1:2" x14ac:dyDescent="0.3">
      <c r="A42" s="42">
        <v>1067</v>
      </c>
      <c r="B42" s="40" t="s">
        <v>113</v>
      </c>
    </row>
    <row r="43" spans="1:2" x14ac:dyDescent="0.3">
      <c r="A43" s="42">
        <v>1070</v>
      </c>
      <c r="B43" s="40" t="s">
        <v>114</v>
      </c>
    </row>
    <row r="44" spans="1:2" x14ac:dyDescent="0.3">
      <c r="A44" s="42">
        <v>1072</v>
      </c>
      <c r="B44" s="40" t="s">
        <v>115</v>
      </c>
    </row>
    <row r="45" spans="1:2" x14ac:dyDescent="0.3">
      <c r="A45" s="42">
        <v>1075</v>
      </c>
      <c r="B45" s="40" t="s">
        <v>116</v>
      </c>
    </row>
    <row r="46" spans="1:2" x14ac:dyDescent="0.3">
      <c r="A46" s="42">
        <v>1077</v>
      </c>
      <c r="B46" s="40" t="s">
        <v>117</v>
      </c>
    </row>
    <row r="47" spans="1:2" x14ac:dyDescent="0.3">
      <c r="A47" s="42">
        <v>1079</v>
      </c>
      <c r="B47" s="40" t="s">
        <v>118</v>
      </c>
    </row>
    <row r="48" spans="1:2" x14ac:dyDescent="0.3">
      <c r="A48" s="42">
        <v>1080</v>
      </c>
      <c r="B48" s="40" t="s">
        <v>119</v>
      </c>
    </row>
    <row r="49" spans="1:2" x14ac:dyDescent="0.3">
      <c r="A49" s="42">
        <v>1086</v>
      </c>
      <c r="B49" s="40" t="s">
        <v>120</v>
      </c>
    </row>
    <row r="50" spans="1:2" x14ac:dyDescent="0.3">
      <c r="A50" s="42">
        <v>1092</v>
      </c>
      <c r="B50" s="40" t="s">
        <v>121</v>
      </c>
    </row>
    <row r="51" spans="1:2" x14ac:dyDescent="0.3">
      <c r="A51" s="42">
        <v>1100</v>
      </c>
      <c r="B51" s="40" t="s">
        <v>122</v>
      </c>
    </row>
    <row r="52" spans="1:2" x14ac:dyDescent="0.3">
      <c r="A52" s="42">
        <v>1103</v>
      </c>
      <c r="B52" s="40" t="s">
        <v>123</v>
      </c>
    </row>
    <row r="53" spans="1:2" x14ac:dyDescent="0.3">
      <c r="A53" s="42">
        <v>1104</v>
      </c>
      <c r="B53" s="40" t="s">
        <v>124</v>
      </c>
    </row>
    <row r="54" spans="1:2" x14ac:dyDescent="0.3">
      <c r="A54" s="42">
        <v>1105</v>
      </c>
      <c r="B54" s="40" t="s">
        <v>125</v>
      </c>
    </row>
    <row r="55" spans="1:2" x14ac:dyDescent="0.3">
      <c r="A55" s="42">
        <v>1110</v>
      </c>
      <c r="B55" s="40" t="s">
        <v>126</v>
      </c>
    </row>
    <row r="56" spans="1:2" x14ac:dyDescent="0.3">
      <c r="A56" s="42">
        <v>1112</v>
      </c>
      <c r="B56" s="40" t="s">
        <v>127</v>
      </c>
    </row>
    <row r="57" spans="1:2" x14ac:dyDescent="0.3">
      <c r="A57" s="42">
        <v>1114</v>
      </c>
      <c r="B57" s="40" t="s">
        <v>128</v>
      </c>
    </row>
    <row r="58" spans="1:2" x14ac:dyDescent="0.3">
      <c r="A58" s="42">
        <v>1116</v>
      </c>
      <c r="B58" s="40" t="s">
        <v>129</v>
      </c>
    </row>
    <row r="59" spans="1:2" x14ac:dyDescent="0.3">
      <c r="A59" s="42">
        <v>1121</v>
      </c>
      <c r="B59" s="40" t="s">
        <v>130</v>
      </c>
    </row>
    <row r="60" spans="1:2" x14ac:dyDescent="0.3">
      <c r="A60" s="42">
        <v>1122</v>
      </c>
      <c r="B60" s="40" t="s">
        <v>131</v>
      </c>
    </row>
    <row r="61" spans="1:2" x14ac:dyDescent="0.3">
      <c r="A61" s="42">
        <v>1123</v>
      </c>
      <c r="B61" s="40" t="s">
        <v>132</v>
      </c>
    </row>
    <row r="62" spans="1:2" x14ac:dyDescent="0.3">
      <c r="A62" s="42">
        <v>1127</v>
      </c>
      <c r="B62" s="40" t="s">
        <v>133</v>
      </c>
    </row>
    <row r="63" spans="1:2" x14ac:dyDescent="0.3">
      <c r="A63" s="42">
        <v>1132</v>
      </c>
      <c r="B63" s="40" t="s">
        <v>134</v>
      </c>
    </row>
    <row r="64" spans="1:2" x14ac:dyDescent="0.3">
      <c r="A64" s="42">
        <v>1136</v>
      </c>
      <c r="B64" s="40" t="s">
        <v>135</v>
      </c>
    </row>
    <row r="65" spans="1:2" x14ac:dyDescent="0.3">
      <c r="A65" s="42">
        <v>1139</v>
      </c>
      <c r="B65" s="40" t="s">
        <v>136</v>
      </c>
    </row>
    <row r="66" spans="1:2" x14ac:dyDescent="0.3">
      <c r="A66" s="42">
        <v>1140</v>
      </c>
      <c r="B66" s="40" t="s">
        <v>137</v>
      </c>
    </row>
    <row r="67" spans="1:2" x14ac:dyDescent="0.3">
      <c r="A67" s="42">
        <v>1141</v>
      </c>
      <c r="B67" s="40" t="s">
        <v>138</v>
      </c>
    </row>
    <row r="68" spans="1:2" x14ac:dyDescent="0.3">
      <c r="A68" s="42">
        <v>1145</v>
      </c>
      <c r="B68" s="40" t="s">
        <v>139</v>
      </c>
    </row>
    <row r="69" spans="1:2" x14ac:dyDescent="0.3">
      <c r="A69" s="42">
        <v>1146</v>
      </c>
      <c r="B69" s="40" t="s">
        <v>140</v>
      </c>
    </row>
    <row r="70" spans="1:2" x14ac:dyDescent="0.3">
      <c r="A70" s="42">
        <v>1150</v>
      </c>
      <c r="B70" s="40" t="s">
        <v>141</v>
      </c>
    </row>
    <row r="71" spans="1:2" x14ac:dyDescent="0.3">
      <c r="A71" s="42">
        <v>1151</v>
      </c>
      <c r="B71" s="40" t="s">
        <v>142</v>
      </c>
    </row>
    <row r="72" spans="1:2" x14ac:dyDescent="0.3">
      <c r="A72" s="42">
        <v>1154</v>
      </c>
      <c r="B72" s="40" t="s">
        <v>143</v>
      </c>
    </row>
    <row r="73" spans="1:2" x14ac:dyDescent="0.3">
      <c r="A73" s="42">
        <v>1155</v>
      </c>
      <c r="B73" s="40" t="s">
        <v>144</v>
      </c>
    </row>
    <row r="74" spans="1:2" x14ac:dyDescent="0.3">
      <c r="A74" s="42">
        <v>1156</v>
      </c>
      <c r="B74" s="40" t="s">
        <v>145</v>
      </c>
    </row>
    <row r="75" spans="1:2" x14ac:dyDescent="0.3">
      <c r="A75" s="42">
        <v>1157</v>
      </c>
      <c r="B75" s="40" t="s">
        <v>146</v>
      </c>
    </row>
    <row r="76" spans="1:2" x14ac:dyDescent="0.3">
      <c r="A76" s="42">
        <v>1158</v>
      </c>
      <c r="B76" s="40" t="s">
        <v>147</v>
      </c>
    </row>
    <row r="77" spans="1:2" x14ac:dyDescent="0.3">
      <c r="A77" s="42">
        <v>1159</v>
      </c>
      <c r="B77" s="40" t="s">
        <v>148</v>
      </c>
    </row>
    <row r="78" spans="1:2" x14ac:dyDescent="0.3">
      <c r="A78" s="42">
        <v>1160</v>
      </c>
      <c r="B78" s="40" t="s">
        <v>149</v>
      </c>
    </row>
    <row r="79" spans="1:2" x14ac:dyDescent="0.3">
      <c r="A79" s="42">
        <v>1161</v>
      </c>
      <c r="B79" s="40" t="s">
        <v>150</v>
      </c>
    </row>
    <row r="80" spans="1:2" x14ac:dyDescent="0.3">
      <c r="A80" s="42">
        <v>1162</v>
      </c>
      <c r="B80" s="40" t="s">
        <v>151</v>
      </c>
    </row>
    <row r="81" spans="1:2" x14ac:dyDescent="0.3">
      <c r="A81" s="42">
        <v>1163</v>
      </c>
      <c r="B81" s="40" t="s">
        <v>152</v>
      </c>
    </row>
    <row r="82" spans="1:2" x14ac:dyDescent="0.3">
      <c r="A82" s="42">
        <v>1164</v>
      </c>
      <c r="B82" s="40" t="s">
        <v>153</v>
      </c>
    </row>
    <row r="83" spans="1:2" x14ac:dyDescent="0.3">
      <c r="A83" s="42">
        <v>1165</v>
      </c>
      <c r="B83" s="40" t="s">
        <v>154</v>
      </c>
    </row>
    <row r="84" spans="1:2" x14ac:dyDescent="0.3">
      <c r="A84" s="42">
        <v>1166</v>
      </c>
      <c r="B84" s="40" t="s">
        <v>155</v>
      </c>
    </row>
    <row r="85" spans="1:2" x14ac:dyDescent="0.3">
      <c r="A85" s="42">
        <v>1167</v>
      </c>
      <c r="B85" s="40" t="s">
        <v>156</v>
      </c>
    </row>
    <row r="86" spans="1:2" x14ac:dyDescent="0.3">
      <c r="A86" s="42">
        <v>1168</v>
      </c>
      <c r="B86" s="40" t="s">
        <v>157</v>
      </c>
    </row>
    <row r="87" spans="1:2" x14ac:dyDescent="0.3">
      <c r="A87" s="42">
        <v>1169</v>
      </c>
      <c r="B87" s="40" t="s">
        <v>158</v>
      </c>
    </row>
    <row r="88" spans="1:2" x14ac:dyDescent="0.3">
      <c r="A88" s="42">
        <v>1170</v>
      </c>
      <c r="B88" s="40" t="s">
        <v>159</v>
      </c>
    </row>
    <row r="89" spans="1:2" x14ac:dyDescent="0.3">
      <c r="A89" s="42">
        <v>1171</v>
      </c>
      <c r="B89" s="40" t="s">
        <v>160</v>
      </c>
    </row>
    <row r="90" spans="1:2" x14ac:dyDescent="0.3">
      <c r="A90" s="42">
        <v>1172</v>
      </c>
      <c r="B90" s="40" t="s">
        <v>161</v>
      </c>
    </row>
    <row r="91" spans="1:2" x14ac:dyDescent="0.3">
      <c r="A91" s="42">
        <v>1173</v>
      </c>
      <c r="B91" s="40" t="s">
        <v>162</v>
      </c>
    </row>
    <row r="92" spans="1:2" x14ac:dyDescent="0.3">
      <c r="A92" s="42">
        <v>1174</v>
      </c>
      <c r="B92" s="40" t="s">
        <v>163</v>
      </c>
    </row>
    <row r="93" spans="1:2" x14ac:dyDescent="0.3">
      <c r="A93" s="42">
        <v>1175</v>
      </c>
      <c r="B93" s="40" t="s">
        <v>164</v>
      </c>
    </row>
    <row r="94" spans="1:2" x14ac:dyDescent="0.3">
      <c r="A94" s="42">
        <v>1176</v>
      </c>
      <c r="B94" s="40" t="s">
        <v>165</v>
      </c>
    </row>
    <row r="95" spans="1:2" x14ac:dyDescent="0.3">
      <c r="A95" s="42">
        <v>1177</v>
      </c>
      <c r="B95" s="40" t="s">
        <v>166</v>
      </c>
    </row>
    <row r="96" spans="1:2" x14ac:dyDescent="0.3">
      <c r="A96" s="42">
        <v>1178</v>
      </c>
      <c r="B96" s="40" t="s">
        <v>167</v>
      </c>
    </row>
    <row r="97" spans="1:2" x14ac:dyDescent="0.3">
      <c r="A97" s="42">
        <v>1179</v>
      </c>
      <c r="B97" s="40" t="s">
        <v>168</v>
      </c>
    </row>
    <row r="98" spans="1:2" x14ac:dyDescent="0.3">
      <c r="A98" s="42">
        <v>1180</v>
      </c>
      <c r="B98" s="40" t="s">
        <v>169</v>
      </c>
    </row>
    <row r="99" spans="1:2" x14ac:dyDescent="0.3">
      <c r="A99" s="42">
        <v>1181</v>
      </c>
      <c r="B99" s="40" t="s">
        <v>170</v>
      </c>
    </row>
    <row r="100" spans="1:2" x14ac:dyDescent="0.3">
      <c r="A100" s="42">
        <v>1182</v>
      </c>
      <c r="B100" s="40" t="s">
        <v>171</v>
      </c>
    </row>
    <row r="101" spans="1:2" x14ac:dyDescent="0.3">
      <c r="A101" s="42">
        <v>1183</v>
      </c>
      <c r="B101" s="40" t="s">
        <v>172</v>
      </c>
    </row>
    <row r="102" spans="1:2" x14ac:dyDescent="0.3">
      <c r="A102" s="42">
        <v>1184</v>
      </c>
      <c r="B102" s="40" t="s">
        <v>173</v>
      </c>
    </row>
    <row r="103" spans="1:2" x14ac:dyDescent="0.3">
      <c r="A103" s="42">
        <v>1185</v>
      </c>
      <c r="B103" s="40" t="s">
        <v>174</v>
      </c>
    </row>
    <row r="104" spans="1:2" x14ac:dyDescent="0.3">
      <c r="A104" s="42">
        <v>1186</v>
      </c>
      <c r="B104" s="40" t="s">
        <v>175</v>
      </c>
    </row>
    <row r="105" spans="1:2" x14ac:dyDescent="0.3">
      <c r="A105" s="42">
        <v>1187</v>
      </c>
      <c r="B105" s="40" t="s">
        <v>176</v>
      </c>
    </row>
    <row r="106" spans="1:2" x14ac:dyDescent="0.3">
      <c r="A106" s="42">
        <v>1188</v>
      </c>
      <c r="B106" s="40" t="s">
        <v>177</v>
      </c>
    </row>
    <row r="107" spans="1:2" x14ac:dyDescent="0.3">
      <c r="A107" s="42">
        <v>1189</v>
      </c>
      <c r="B107" s="40" t="s">
        <v>178</v>
      </c>
    </row>
    <row r="108" spans="1:2" x14ac:dyDescent="0.3">
      <c r="A108" s="42">
        <v>1190</v>
      </c>
      <c r="B108" s="40" t="s">
        <v>179</v>
      </c>
    </row>
    <row r="109" spans="1:2" x14ac:dyDescent="0.3">
      <c r="A109" s="42">
        <v>1200</v>
      </c>
      <c r="B109" s="40" t="s">
        <v>180</v>
      </c>
    </row>
    <row r="110" spans="1:2" x14ac:dyDescent="0.3">
      <c r="A110" s="42">
        <v>1202</v>
      </c>
      <c r="B110" s="40" t="s">
        <v>181</v>
      </c>
    </row>
    <row r="111" spans="1:2" x14ac:dyDescent="0.3">
      <c r="A111" s="42">
        <v>1203</v>
      </c>
      <c r="B111" s="40" t="s">
        <v>182</v>
      </c>
    </row>
    <row r="112" spans="1:2" x14ac:dyDescent="0.3">
      <c r="A112" s="42">
        <v>1204</v>
      </c>
      <c r="B112" s="40" t="s">
        <v>183</v>
      </c>
    </row>
    <row r="113" spans="1:2" x14ac:dyDescent="0.3">
      <c r="A113" s="42">
        <v>1205</v>
      </c>
      <c r="B113" s="40" t="s">
        <v>184</v>
      </c>
    </row>
    <row r="114" spans="1:2" x14ac:dyDescent="0.3">
      <c r="A114" s="42">
        <v>1206</v>
      </c>
      <c r="B114" s="40" t="s">
        <v>185</v>
      </c>
    </row>
    <row r="115" spans="1:2" x14ac:dyDescent="0.3">
      <c r="A115" s="42">
        <v>1207</v>
      </c>
      <c r="B115" s="40" t="s">
        <v>186</v>
      </c>
    </row>
    <row r="116" spans="1:2" x14ac:dyDescent="0.3">
      <c r="A116" s="42">
        <v>1208</v>
      </c>
      <c r="B116" s="40" t="s">
        <v>187</v>
      </c>
    </row>
    <row r="117" spans="1:2" x14ac:dyDescent="0.3">
      <c r="A117" s="42">
        <v>1209</v>
      </c>
      <c r="B117" s="40" t="s">
        <v>188</v>
      </c>
    </row>
    <row r="118" spans="1:2" x14ac:dyDescent="0.3">
      <c r="A118" s="42">
        <v>1210</v>
      </c>
      <c r="B118" s="40" t="s">
        <v>189</v>
      </c>
    </row>
    <row r="119" spans="1:2" x14ac:dyDescent="0.3">
      <c r="A119" s="42">
        <v>1211</v>
      </c>
      <c r="B119" s="40" t="s">
        <v>190</v>
      </c>
    </row>
    <row r="120" spans="1:2" x14ac:dyDescent="0.3">
      <c r="A120" s="42">
        <v>1212</v>
      </c>
      <c r="B120" s="40" t="s">
        <v>191</v>
      </c>
    </row>
    <row r="121" spans="1:2" x14ac:dyDescent="0.3">
      <c r="A121" s="42">
        <v>1213</v>
      </c>
      <c r="B121" s="40" t="s">
        <v>192</v>
      </c>
    </row>
    <row r="122" spans="1:2" x14ac:dyDescent="0.3">
      <c r="A122" s="42">
        <v>1214</v>
      </c>
      <c r="B122" s="40" t="s">
        <v>193</v>
      </c>
    </row>
    <row r="123" spans="1:2" x14ac:dyDescent="0.3">
      <c r="A123" s="42">
        <v>1215</v>
      </c>
      <c r="B123" s="40" t="s">
        <v>194</v>
      </c>
    </row>
    <row r="124" spans="1:2" x14ac:dyDescent="0.3">
      <c r="A124" s="42">
        <v>1216</v>
      </c>
      <c r="B124" s="40" t="s">
        <v>195</v>
      </c>
    </row>
    <row r="125" spans="1:2" x14ac:dyDescent="0.3">
      <c r="A125" s="42">
        <v>1218</v>
      </c>
      <c r="B125" s="40" t="s">
        <v>196</v>
      </c>
    </row>
    <row r="126" spans="1:2" x14ac:dyDescent="0.3">
      <c r="A126" s="42">
        <v>1219</v>
      </c>
      <c r="B126" s="40" t="s">
        <v>197</v>
      </c>
    </row>
    <row r="127" spans="1:2" x14ac:dyDescent="0.3">
      <c r="A127" s="42">
        <v>1222</v>
      </c>
      <c r="B127" s="40" t="s">
        <v>198</v>
      </c>
    </row>
    <row r="128" spans="1:2" x14ac:dyDescent="0.3">
      <c r="A128" s="42">
        <v>1227</v>
      </c>
      <c r="B128" s="40" t="s">
        <v>199</v>
      </c>
    </row>
    <row r="129" spans="1:2" x14ac:dyDescent="0.3">
      <c r="A129" s="42">
        <v>1228</v>
      </c>
      <c r="B129" s="40" t="s">
        <v>200</v>
      </c>
    </row>
    <row r="130" spans="1:2" x14ac:dyDescent="0.3">
      <c r="A130" s="42">
        <v>1229</v>
      </c>
      <c r="B130" s="40" t="s">
        <v>201</v>
      </c>
    </row>
    <row r="131" spans="1:2" x14ac:dyDescent="0.3">
      <c r="A131" s="42">
        <v>1230</v>
      </c>
      <c r="B131" s="40" t="s">
        <v>202</v>
      </c>
    </row>
    <row r="132" spans="1:2" x14ac:dyDescent="0.3">
      <c r="A132" s="42">
        <v>1231</v>
      </c>
      <c r="B132" s="40" t="s">
        <v>203</v>
      </c>
    </row>
    <row r="133" spans="1:2" x14ac:dyDescent="0.3">
      <c r="A133" s="42">
        <v>1232</v>
      </c>
      <c r="B133" s="40" t="s">
        <v>204</v>
      </c>
    </row>
    <row r="134" spans="1:2" x14ac:dyDescent="0.3">
      <c r="A134" s="42">
        <v>1233</v>
      </c>
      <c r="B134" s="40" t="s">
        <v>205</v>
      </c>
    </row>
    <row r="135" spans="1:2" x14ac:dyDescent="0.3">
      <c r="A135" s="42">
        <v>1234</v>
      </c>
      <c r="B135" s="40" t="s">
        <v>206</v>
      </c>
    </row>
    <row r="136" spans="1:2" x14ac:dyDescent="0.3">
      <c r="A136" s="42">
        <v>1235</v>
      </c>
      <c r="B136" s="40" t="s">
        <v>207</v>
      </c>
    </row>
    <row r="137" spans="1:2" x14ac:dyDescent="0.3">
      <c r="A137" s="42">
        <v>1236</v>
      </c>
      <c r="B137" s="40" t="s">
        <v>208</v>
      </c>
    </row>
    <row r="138" spans="1:2" x14ac:dyDescent="0.3">
      <c r="A138" s="42">
        <v>1237</v>
      </c>
      <c r="B138" s="40" t="s">
        <v>1382</v>
      </c>
    </row>
    <row r="139" spans="1:2" x14ac:dyDescent="0.3">
      <c r="A139" s="42">
        <v>1241</v>
      </c>
      <c r="B139" s="40" t="s">
        <v>209</v>
      </c>
    </row>
    <row r="140" spans="1:2" x14ac:dyDescent="0.3">
      <c r="A140" s="42">
        <v>1242</v>
      </c>
      <c r="B140" s="40" t="s">
        <v>210</v>
      </c>
    </row>
    <row r="141" spans="1:2" x14ac:dyDescent="0.3">
      <c r="A141" s="42">
        <v>1243</v>
      </c>
      <c r="B141" s="40" t="s">
        <v>211</v>
      </c>
    </row>
    <row r="142" spans="1:2" x14ac:dyDescent="0.3">
      <c r="A142" s="42">
        <v>1244</v>
      </c>
      <c r="B142" s="40" t="s">
        <v>212</v>
      </c>
    </row>
    <row r="143" spans="1:2" x14ac:dyDescent="0.3">
      <c r="A143" s="42">
        <v>1245</v>
      </c>
      <c r="B143" s="40" t="s">
        <v>213</v>
      </c>
    </row>
    <row r="144" spans="1:2" x14ac:dyDescent="0.3">
      <c r="A144" s="42">
        <v>1246</v>
      </c>
      <c r="B144" s="40" t="s">
        <v>214</v>
      </c>
    </row>
    <row r="145" spans="1:2" x14ac:dyDescent="0.3">
      <c r="A145" s="42">
        <v>1247</v>
      </c>
      <c r="B145" s="40" t="s">
        <v>215</v>
      </c>
    </row>
    <row r="146" spans="1:2" x14ac:dyDescent="0.3">
      <c r="A146" s="42">
        <v>1248</v>
      </c>
      <c r="B146" s="40" t="s">
        <v>216</v>
      </c>
    </row>
    <row r="147" spans="1:2" x14ac:dyDescent="0.3">
      <c r="A147" s="42">
        <v>1249</v>
      </c>
      <c r="B147" s="40" t="s">
        <v>217</v>
      </c>
    </row>
    <row r="148" spans="1:2" x14ac:dyDescent="0.3">
      <c r="A148" s="42">
        <v>1250</v>
      </c>
      <c r="B148" s="40" t="s">
        <v>218</v>
      </c>
    </row>
    <row r="149" spans="1:2" x14ac:dyDescent="0.3">
      <c r="A149" s="42">
        <v>1251</v>
      </c>
      <c r="B149" s="40" t="s">
        <v>219</v>
      </c>
    </row>
    <row r="150" spans="1:2" x14ac:dyDescent="0.3">
      <c r="A150" s="42">
        <v>1252</v>
      </c>
      <c r="B150" s="40" t="s">
        <v>220</v>
      </c>
    </row>
    <row r="151" spans="1:2" x14ac:dyDescent="0.3">
      <c r="A151" s="42">
        <v>1253</v>
      </c>
      <c r="B151" s="40" t="s">
        <v>221</v>
      </c>
    </row>
    <row r="152" spans="1:2" x14ac:dyDescent="0.3">
      <c r="A152" s="42">
        <v>1254</v>
      </c>
      <c r="B152" s="40" t="s">
        <v>222</v>
      </c>
    </row>
    <row r="153" spans="1:2" x14ac:dyDescent="0.3">
      <c r="A153" s="42">
        <v>1255</v>
      </c>
      <c r="B153" s="40" t="s">
        <v>223</v>
      </c>
    </row>
    <row r="154" spans="1:2" x14ac:dyDescent="0.3">
      <c r="A154" s="42">
        <v>1256</v>
      </c>
      <c r="B154" s="40" t="s">
        <v>224</v>
      </c>
    </row>
    <row r="155" spans="1:2" x14ac:dyDescent="0.3">
      <c r="A155" s="42">
        <v>1257</v>
      </c>
      <c r="B155" s="40" t="s">
        <v>225</v>
      </c>
    </row>
    <row r="156" spans="1:2" x14ac:dyDescent="0.3">
      <c r="A156" s="42">
        <v>1258</v>
      </c>
      <c r="B156" s="40" t="s">
        <v>226</v>
      </c>
    </row>
    <row r="157" spans="1:2" x14ac:dyDescent="0.3">
      <c r="A157" s="42">
        <v>1259</v>
      </c>
      <c r="B157" s="40" t="s">
        <v>227</v>
      </c>
    </row>
    <row r="158" spans="1:2" x14ac:dyDescent="0.3">
      <c r="A158" s="42">
        <v>1260</v>
      </c>
      <c r="B158" s="40" t="s">
        <v>228</v>
      </c>
    </row>
    <row r="159" spans="1:2" x14ac:dyDescent="0.3">
      <c r="A159" s="42">
        <v>1261</v>
      </c>
      <c r="B159" s="40" t="s">
        <v>229</v>
      </c>
    </row>
    <row r="160" spans="1:2" x14ac:dyDescent="0.3">
      <c r="A160" s="42">
        <v>1262</v>
      </c>
      <c r="B160" s="40" t="s">
        <v>230</v>
      </c>
    </row>
    <row r="161" spans="1:2" x14ac:dyDescent="0.3">
      <c r="A161" s="42">
        <v>1263</v>
      </c>
      <c r="B161" s="40" t="s">
        <v>231</v>
      </c>
    </row>
    <row r="162" spans="1:2" x14ac:dyDescent="0.3">
      <c r="A162" s="42">
        <v>1264</v>
      </c>
      <c r="B162" s="40" t="s">
        <v>232</v>
      </c>
    </row>
    <row r="163" spans="1:2" x14ac:dyDescent="0.3">
      <c r="A163" s="42">
        <v>1265</v>
      </c>
      <c r="B163" s="40" t="s">
        <v>233</v>
      </c>
    </row>
    <row r="164" spans="1:2" x14ac:dyDescent="0.3">
      <c r="A164" s="42">
        <v>1266</v>
      </c>
      <c r="B164" s="40" t="s">
        <v>234</v>
      </c>
    </row>
    <row r="165" spans="1:2" x14ac:dyDescent="0.3">
      <c r="A165" s="42">
        <v>1267</v>
      </c>
      <c r="B165" s="40" t="s">
        <v>235</v>
      </c>
    </row>
    <row r="166" spans="1:2" x14ac:dyDescent="0.3">
      <c r="A166" s="42">
        <v>1268</v>
      </c>
      <c r="B166" s="40" t="s">
        <v>236</v>
      </c>
    </row>
    <row r="167" spans="1:2" x14ac:dyDescent="0.3">
      <c r="A167" s="42">
        <v>1269</v>
      </c>
      <c r="B167" s="40" t="s">
        <v>237</v>
      </c>
    </row>
    <row r="168" spans="1:2" x14ac:dyDescent="0.3">
      <c r="A168" s="42">
        <v>1270</v>
      </c>
      <c r="B168" s="40" t="s">
        <v>238</v>
      </c>
    </row>
    <row r="169" spans="1:2" x14ac:dyDescent="0.3">
      <c r="A169" s="42">
        <v>1271</v>
      </c>
      <c r="B169" s="40" t="s">
        <v>239</v>
      </c>
    </row>
    <row r="170" spans="1:2" x14ac:dyDescent="0.3">
      <c r="A170" s="42">
        <v>1272</v>
      </c>
      <c r="B170" s="40" t="s">
        <v>240</v>
      </c>
    </row>
    <row r="171" spans="1:2" x14ac:dyDescent="0.3">
      <c r="A171" s="42">
        <v>1273</v>
      </c>
      <c r="B171" s="40" t="s">
        <v>241</v>
      </c>
    </row>
    <row r="172" spans="1:2" x14ac:dyDescent="0.3">
      <c r="A172" s="42">
        <v>1274</v>
      </c>
      <c r="B172" s="40" t="s">
        <v>242</v>
      </c>
    </row>
    <row r="173" spans="1:2" x14ac:dyDescent="0.3">
      <c r="A173" s="42">
        <v>1275</v>
      </c>
      <c r="B173" s="40" t="s">
        <v>243</v>
      </c>
    </row>
    <row r="174" spans="1:2" x14ac:dyDescent="0.3">
      <c r="A174" s="42">
        <v>1276</v>
      </c>
      <c r="B174" s="40" t="s">
        <v>244</v>
      </c>
    </row>
    <row r="175" spans="1:2" x14ac:dyDescent="0.3">
      <c r="A175" s="42">
        <v>1277</v>
      </c>
      <c r="B175" s="40" t="s">
        <v>245</v>
      </c>
    </row>
    <row r="176" spans="1:2" x14ac:dyDescent="0.3">
      <c r="A176" s="42">
        <v>1278</v>
      </c>
      <c r="B176" s="40" t="s">
        <v>246</v>
      </c>
    </row>
    <row r="177" spans="1:2" x14ac:dyDescent="0.3">
      <c r="A177" s="42">
        <v>1279</v>
      </c>
      <c r="B177" s="40" t="s">
        <v>247</v>
      </c>
    </row>
    <row r="178" spans="1:2" x14ac:dyDescent="0.3">
      <c r="A178" s="42">
        <v>1280</v>
      </c>
      <c r="B178" s="40" t="s">
        <v>248</v>
      </c>
    </row>
    <row r="179" spans="1:2" x14ac:dyDescent="0.3">
      <c r="A179" s="42">
        <v>1281</v>
      </c>
      <c r="B179" s="61" t="s">
        <v>1670</v>
      </c>
    </row>
    <row r="180" spans="1:2" x14ac:dyDescent="0.3">
      <c r="A180" s="42">
        <v>1282</v>
      </c>
      <c r="B180" s="40" t="s">
        <v>249</v>
      </c>
    </row>
    <row r="181" spans="1:2" x14ac:dyDescent="0.3">
      <c r="A181" s="42">
        <v>1283</v>
      </c>
      <c r="B181" s="40" t="s">
        <v>250</v>
      </c>
    </row>
    <row r="182" spans="1:2" x14ac:dyDescent="0.3">
      <c r="A182" s="42">
        <v>1284</v>
      </c>
      <c r="B182" s="40" t="s">
        <v>251</v>
      </c>
    </row>
    <row r="183" spans="1:2" x14ac:dyDescent="0.3">
      <c r="A183" s="42">
        <v>1285</v>
      </c>
      <c r="B183" s="40" t="s">
        <v>252</v>
      </c>
    </row>
    <row r="184" spans="1:2" x14ac:dyDescent="0.3">
      <c r="A184" s="42">
        <v>1286</v>
      </c>
      <c r="B184" s="40" t="s">
        <v>253</v>
      </c>
    </row>
    <row r="185" spans="1:2" x14ac:dyDescent="0.3">
      <c r="A185" s="42">
        <v>1287</v>
      </c>
      <c r="B185" s="40" t="s">
        <v>254</v>
      </c>
    </row>
    <row r="186" spans="1:2" x14ac:dyDescent="0.3">
      <c r="A186" s="42">
        <v>1289</v>
      </c>
      <c r="B186" s="40" t="s">
        <v>255</v>
      </c>
    </row>
    <row r="187" spans="1:2" x14ac:dyDescent="0.3">
      <c r="A187" s="42">
        <v>1290</v>
      </c>
      <c r="B187" s="40" t="s">
        <v>256</v>
      </c>
    </row>
    <row r="188" spans="1:2" x14ac:dyDescent="0.3">
      <c r="A188" s="42">
        <v>1291</v>
      </c>
      <c r="B188" s="40" t="s">
        <v>257</v>
      </c>
    </row>
    <row r="189" spans="1:2" x14ac:dyDescent="0.3">
      <c r="A189" s="42">
        <v>1292</v>
      </c>
      <c r="B189" s="40" t="s">
        <v>258</v>
      </c>
    </row>
    <row r="190" spans="1:2" x14ac:dyDescent="0.3">
      <c r="A190" s="42">
        <v>1293</v>
      </c>
      <c r="B190" s="40" t="s">
        <v>259</v>
      </c>
    </row>
    <row r="191" spans="1:2" x14ac:dyDescent="0.3">
      <c r="A191" s="42">
        <v>1294</v>
      </c>
      <c r="B191" s="40" t="s">
        <v>260</v>
      </c>
    </row>
    <row r="192" spans="1:2" x14ac:dyDescent="0.3">
      <c r="A192" s="42">
        <v>1295</v>
      </c>
      <c r="B192" s="40" t="s">
        <v>261</v>
      </c>
    </row>
    <row r="193" spans="1:2" x14ac:dyDescent="0.3">
      <c r="A193" s="42">
        <v>1296</v>
      </c>
      <c r="B193" s="40" t="s">
        <v>262</v>
      </c>
    </row>
    <row r="194" spans="1:2" x14ac:dyDescent="0.3">
      <c r="A194" s="42">
        <v>1299</v>
      </c>
      <c r="B194" s="40" t="s">
        <v>263</v>
      </c>
    </row>
    <row r="195" spans="1:2" x14ac:dyDescent="0.3">
      <c r="A195" s="42">
        <v>1300</v>
      </c>
      <c r="B195" s="40" t="s">
        <v>264</v>
      </c>
    </row>
    <row r="196" spans="1:2" x14ac:dyDescent="0.3">
      <c r="A196" s="42">
        <v>1301</v>
      </c>
      <c r="B196" s="40" t="s">
        <v>265</v>
      </c>
    </row>
    <row r="197" spans="1:2" x14ac:dyDescent="0.3">
      <c r="A197" s="42">
        <v>1302</v>
      </c>
      <c r="B197" s="40" t="s">
        <v>266</v>
      </c>
    </row>
    <row r="198" spans="1:2" x14ac:dyDescent="0.3">
      <c r="A198" s="42">
        <v>1303</v>
      </c>
      <c r="B198" s="40" t="s">
        <v>267</v>
      </c>
    </row>
    <row r="199" spans="1:2" x14ac:dyDescent="0.3">
      <c r="A199" s="42">
        <v>1304</v>
      </c>
      <c r="B199" s="40" t="s">
        <v>268</v>
      </c>
    </row>
    <row r="200" spans="1:2" x14ac:dyDescent="0.3">
      <c r="A200" s="42">
        <v>1305</v>
      </c>
      <c r="B200" s="40" t="s">
        <v>269</v>
      </c>
    </row>
    <row r="201" spans="1:2" x14ac:dyDescent="0.3">
      <c r="A201" s="42">
        <v>1306</v>
      </c>
      <c r="B201" s="40" t="s">
        <v>270</v>
      </c>
    </row>
    <row r="202" spans="1:2" x14ac:dyDescent="0.3">
      <c r="A202" s="42">
        <v>1307</v>
      </c>
      <c r="B202" s="40" t="s">
        <v>271</v>
      </c>
    </row>
    <row r="203" spans="1:2" x14ac:dyDescent="0.3">
      <c r="A203" s="42">
        <v>1308</v>
      </c>
      <c r="B203" s="40" t="s">
        <v>272</v>
      </c>
    </row>
    <row r="204" spans="1:2" x14ac:dyDescent="0.3">
      <c r="A204" s="42">
        <v>1309</v>
      </c>
      <c r="B204" s="40" t="s">
        <v>273</v>
      </c>
    </row>
    <row r="205" spans="1:2" x14ac:dyDescent="0.3">
      <c r="A205" s="42">
        <v>1310</v>
      </c>
      <c r="B205" s="40" t="s">
        <v>274</v>
      </c>
    </row>
    <row r="206" spans="1:2" x14ac:dyDescent="0.3">
      <c r="A206" s="42">
        <v>1311</v>
      </c>
      <c r="B206" s="40" t="s">
        <v>275</v>
      </c>
    </row>
    <row r="207" spans="1:2" x14ac:dyDescent="0.3">
      <c r="A207" s="42">
        <v>1312</v>
      </c>
      <c r="B207" s="40" t="s">
        <v>276</v>
      </c>
    </row>
    <row r="208" spans="1:2" x14ac:dyDescent="0.3">
      <c r="A208" s="42">
        <v>1313</v>
      </c>
      <c r="B208" s="40" t="s">
        <v>277</v>
      </c>
    </row>
    <row r="209" spans="1:2" x14ac:dyDescent="0.3">
      <c r="A209" s="42">
        <v>1314</v>
      </c>
      <c r="B209" s="40" t="s">
        <v>278</v>
      </c>
    </row>
    <row r="210" spans="1:2" x14ac:dyDescent="0.3">
      <c r="A210" s="42">
        <v>1315</v>
      </c>
      <c r="B210" s="40" t="s">
        <v>279</v>
      </c>
    </row>
    <row r="211" spans="1:2" x14ac:dyDescent="0.3">
      <c r="A211" s="42">
        <v>1316</v>
      </c>
      <c r="B211" s="40" t="s">
        <v>280</v>
      </c>
    </row>
    <row r="212" spans="1:2" x14ac:dyDescent="0.3">
      <c r="A212" s="42">
        <v>1317</v>
      </c>
      <c r="B212" s="40" t="s">
        <v>281</v>
      </c>
    </row>
    <row r="213" spans="1:2" x14ac:dyDescent="0.3">
      <c r="A213" s="42">
        <v>1318</v>
      </c>
      <c r="B213" s="40" t="s">
        <v>282</v>
      </c>
    </row>
    <row r="214" spans="1:2" x14ac:dyDescent="0.3">
      <c r="A214" s="42">
        <v>1319</v>
      </c>
      <c r="B214" s="40" t="s">
        <v>283</v>
      </c>
    </row>
    <row r="215" spans="1:2" x14ac:dyDescent="0.3">
      <c r="A215" s="42">
        <v>1320</v>
      </c>
      <c r="B215" s="40" t="s">
        <v>284</v>
      </c>
    </row>
    <row r="216" spans="1:2" x14ac:dyDescent="0.3">
      <c r="A216" s="42">
        <v>1321</v>
      </c>
      <c r="B216" s="40" t="s">
        <v>285</v>
      </c>
    </row>
    <row r="217" spans="1:2" x14ac:dyDescent="0.3">
      <c r="A217" s="42">
        <v>1322</v>
      </c>
      <c r="B217" s="40" t="s">
        <v>286</v>
      </c>
    </row>
    <row r="218" spans="1:2" x14ac:dyDescent="0.3">
      <c r="A218" s="42">
        <v>1323</v>
      </c>
      <c r="B218" s="40" t="s">
        <v>287</v>
      </c>
    </row>
    <row r="219" spans="1:2" x14ac:dyDescent="0.3">
      <c r="A219" s="42">
        <v>1325</v>
      </c>
      <c r="B219" s="40" t="s">
        <v>288</v>
      </c>
    </row>
    <row r="220" spans="1:2" x14ac:dyDescent="0.3">
      <c r="A220" s="42">
        <v>1326</v>
      </c>
      <c r="B220" s="40" t="s">
        <v>289</v>
      </c>
    </row>
    <row r="221" spans="1:2" x14ac:dyDescent="0.3">
      <c r="A221" s="42">
        <v>1327</v>
      </c>
      <c r="B221" s="40" t="s">
        <v>290</v>
      </c>
    </row>
    <row r="222" spans="1:2" x14ac:dyDescent="0.3">
      <c r="A222" s="42">
        <v>1328</v>
      </c>
      <c r="B222" s="40" t="s">
        <v>291</v>
      </c>
    </row>
    <row r="223" spans="1:2" x14ac:dyDescent="0.3">
      <c r="A223" s="42">
        <v>1329</v>
      </c>
      <c r="B223" s="40" t="s">
        <v>292</v>
      </c>
    </row>
    <row r="224" spans="1:2" x14ac:dyDescent="0.3">
      <c r="A224" s="42">
        <v>1330</v>
      </c>
      <c r="B224" s="40" t="s">
        <v>293</v>
      </c>
    </row>
    <row r="225" spans="1:2" x14ac:dyDescent="0.3">
      <c r="A225" s="42">
        <v>1331</v>
      </c>
      <c r="B225" s="40" t="s">
        <v>294</v>
      </c>
    </row>
    <row r="226" spans="1:2" x14ac:dyDescent="0.3">
      <c r="A226" s="42">
        <v>1332</v>
      </c>
      <c r="B226" s="40" t="s">
        <v>295</v>
      </c>
    </row>
    <row r="227" spans="1:2" x14ac:dyDescent="0.3">
      <c r="A227" s="42">
        <v>1333</v>
      </c>
      <c r="B227" s="40" t="s">
        <v>296</v>
      </c>
    </row>
    <row r="228" spans="1:2" x14ac:dyDescent="0.3">
      <c r="A228" s="42">
        <v>1334</v>
      </c>
      <c r="B228" s="40" t="s">
        <v>297</v>
      </c>
    </row>
    <row r="229" spans="1:2" x14ac:dyDescent="0.3">
      <c r="A229" s="42">
        <v>1335</v>
      </c>
      <c r="B229" s="40" t="s">
        <v>298</v>
      </c>
    </row>
    <row r="230" spans="1:2" x14ac:dyDescent="0.3">
      <c r="A230" s="42">
        <v>1336</v>
      </c>
      <c r="B230" s="40" t="s">
        <v>299</v>
      </c>
    </row>
    <row r="231" spans="1:2" x14ac:dyDescent="0.3">
      <c r="A231" s="42">
        <v>1337</v>
      </c>
      <c r="B231" s="40" t="s">
        <v>300</v>
      </c>
    </row>
    <row r="232" spans="1:2" x14ac:dyDescent="0.3">
      <c r="A232" s="42">
        <v>1338</v>
      </c>
      <c r="B232" s="40" t="s">
        <v>301</v>
      </c>
    </row>
    <row r="233" spans="1:2" x14ac:dyDescent="0.3">
      <c r="A233" s="42">
        <v>1339</v>
      </c>
      <c r="B233" s="40" t="s">
        <v>302</v>
      </c>
    </row>
    <row r="234" spans="1:2" x14ac:dyDescent="0.3">
      <c r="A234" s="42">
        <v>1340</v>
      </c>
      <c r="B234" s="40" t="s">
        <v>303</v>
      </c>
    </row>
    <row r="235" spans="1:2" x14ac:dyDescent="0.3">
      <c r="A235" s="42">
        <v>1341</v>
      </c>
      <c r="B235" s="40" t="s">
        <v>304</v>
      </c>
    </row>
    <row r="236" spans="1:2" x14ac:dyDescent="0.3">
      <c r="A236" s="42">
        <v>1343</v>
      </c>
      <c r="B236" s="40" t="s">
        <v>305</v>
      </c>
    </row>
    <row r="237" spans="1:2" x14ac:dyDescent="0.3">
      <c r="A237" s="42">
        <v>1344</v>
      </c>
      <c r="B237" s="40" t="s">
        <v>306</v>
      </c>
    </row>
    <row r="238" spans="1:2" x14ac:dyDescent="0.3">
      <c r="A238" s="42">
        <v>1345</v>
      </c>
      <c r="B238" s="40" t="s">
        <v>307</v>
      </c>
    </row>
    <row r="239" spans="1:2" x14ac:dyDescent="0.3">
      <c r="A239" s="42">
        <v>1346</v>
      </c>
      <c r="B239" s="40" t="s">
        <v>308</v>
      </c>
    </row>
    <row r="240" spans="1:2" x14ac:dyDescent="0.3">
      <c r="A240" s="42">
        <v>1347</v>
      </c>
      <c r="B240" s="40" t="s">
        <v>309</v>
      </c>
    </row>
    <row r="241" spans="1:2" x14ac:dyDescent="0.3">
      <c r="A241" s="42">
        <v>1348</v>
      </c>
      <c r="B241" s="40" t="s">
        <v>310</v>
      </c>
    </row>
    <row r="242" spans="1:2" x14ac:dyDescent="0.3">
      <c r="A242" s="42">
        <v>1351</v>
      </c>
      <c r="B242" s="40" t="s">
        <v>311</v>
      </c>
    </row>
    <row r="243" spans="1:2" x14ac:dyDescent="0.3">
      <c r="A243" s="42">
        <v>1352</v>
      </c>
      <c r="B243" s="40" t="s">
        <v>312</v>
      </c>
    </row>
    <row r="244" spans="1:2" x14ac:dyDescent="0.3">
      <c r="A244" s="42">
        <v>1353</v>
      </c>
      <c r="B244" s="40" t="s">
        <v>313</v>
      </c>
    </row>
    <row r="245" spans="1:2" x14ac:dyDescent="0.3">
      <c r="A245" s="42">
        <v>1355</v>
      </c>
      <c r="B245" s="40" t="s">
        <v>314</v>
      </c>
    </row>
    <row r="246" spans="1:2" x14ac:dyDescent="0.3">
      <c r="A246" s="42">
        <v>1356</v>
      </c>
      <c r="B246" s="40" t="s">
        <v>315</v>
      </c>
    </row>
    <row r="247" spans="1:2" x14ac:dyDescent="0.3">
      <c r="A247" s="42">
        <v>1357</v>
      </c>
      <c r="B247" s="40" t="s">
        <v>316</v>
      </c>
    </row>
    <row r="248" spans="1:2" x14ac:dyDescent="0.3">
      <c r="A248" s="42">
        <v>1358</v>
      </c>
      <c r="B248" s="40" t="s">
        <v>317</v>
      </c>
    </row>
    <row r="249" spans="1:2" x14ac:dyDescent="0.3">
      <c r="A249" s="42">
        <v>1359</v>
      </c>
      <c r="B249" s="40" t="s">
        <v>318</v>
      </c>
    </row>
    <row r="250" spans="1:2" x14ac:dyDescent="0.3">
      <c r="A250" s="42">
        <v>1361</v>
      </c>
      <c r="B250" s="40" t="s">
        <v>319</v>
      </c>
    </row>
    <row r="251" spans="1:2" x14ac:dyDescent="0.3">
      <c r="A251" s="42">
        <v>1362</v>
      </c>
      <c r="B251" s="40" t="s">
        <v>320</v>
      </c>
    </row>
    <row r="252" spans="1:2" x14ac:dyDescent="0.3">
      <c r="A252" s="42">
        <v>1363</v>
      </c>
      <c r="B252" s="40" t="s">
        <v>321</v>
      </c>
    </row>
    <row r="253" spans="1:2" x14ac:dyDescent="0.3">
      <c r="A253" s="42">
        <v>1364</v>
      </c>
      <c r="B253" s="40" t="s">
        <v>322</v>
      </c>
    </row>
    <row r="254" spans="1:2" x14ac:dyDescent="0.3">
      <c r="A254" s="42">
        <v>1365</v>
      </c>
      <c r="B254" s="40" t="s">
        <v>323</v>
      </c>
    </row>
    <row r="255" spans="1:2" x14ac:dyDescent="0.3">
      <c r="A255" s="42">
        <v>1368</v>
      </c>
      <c r="B255" s="40" t="s">
        <v>324</v>
      </c>
    </row>
    <row r="256" spans="1:2" x14ac:dyDescent="0.3">
      <c r="A256" s="42">
        <v>1370</v>
      </c>
      <c r="B256" s="40" t="s">
        <v>325</v>
      </c>
    </row>
    <row r="257" spans="1:2" x14ac:dyDescent="0.3">
      <c r="A257" s="42">
        <v>1372</v>
      </c>
      <c r="B257" s="40" t="s">
        <v>326</v>
      </c>
    </row>
    <row r="258" spans="1:2" x14ac:dyDescent="0.3">
      <c r="A258" s="42">
        <v>1373</v>
      </c>
      <c r="B258" s="40" t="s">
        <v>327</v>
      </c>
    </row>
    <row r="259" spans="1:2" x14ac:dyDescent="0.3">
      <c r="A259" s="42">
        <v>1374</v>
      </c>
      <c r="B259" s="40" t="s">
        <v>328</v>
      </c>
    </row>
    <row r="260" spans="1:2" x14ac:dyDescent="0.3">
      <c r="A260" s="42">
        <v>1375</v>
      </c>
      <c r="B260" s="40" t="s">
        <v>329</v>
      </c>
    </row>
    <row r="261" spans="1:2" x14ac:dyDescent="0.3">
      <c r="A261" s="42">
        <v>1377</v>
      </c>
      <c r="B261" s="40" t="s">
        <v>330</v>
      </c>
    </row>
    <row r="262" spans="1:2" x14ac:dyDescent="0.3">
      <c r="A262" s="42">
        <v>1378</v>
      </c>
      <c r="B262" s="40" t="s">
        <v>331</v>
      </c>
    </row>
    <row r="263" spans="1:2" x14ac:dyDescent="0.3">
      <c r="A263" s="42">
        <v>1379</v>
      </c>
      <c r="B263" s="40" t="s">
        <v>332</v>
      </c>
    </row>
    <row r="264" spans="1:2" x14ac:dyDescent="0.3">
      <c r="A264" s="42">
        <v>1380</v>
      </c>
      <c r="B264" s="40" t="s">
        <v>333</v>
      </c>
    </row>
    <row r="265" spans="1:2" x14ac:dyDescent="0.3">
      <c r="A265" s="42">
        <v>1381</v>
      </c>
      <c r="B265" s="40" t="s">
        <v>334</v>
      </c>
    </row>
    <row r="266" spans="1:2" x14ac:dyDescent="0.3">
      <c r="A266" s="42">
        <v>1382</v>
      </c>
      <c r="B266" s="40" t="s">
        <v>335</v>
      </c>
    </row>
    <row r="267" spans="1:2" x14ac:dyDescent="0.3">
      <c r="A267" s="42">
        <v>1383</v>
      </c>
      <c r="B267" s="40" t="s">
        <v>336</v>
      </c>
    </row>
    <row r="268" spans="1:2" x14ac:dyDescent="0.3">
      <c r="A268" s="42">
        <v>1384</v>
      </c>
      <c r="B268" s="40" t="s">
        <v>337</v>
      </c>
    </row>
    <row r="269" spans="1:2" x14ac:dyDescent="0.3">
      <c r="A269" s="42">
        <v>1385</v>
      </c>
      <c r="B269" s="40" t="s">
        <v>338</v>
      </c>
    </row>
    <row r="270" spans="1:2" x14ac:dyDescent="0.3">
      <c r="A270" s="42">
        <v>1386</v>
      </c>
      <c r="B270" s="40" t="s">
        <v>339</v>
      </c>
    </row>
    <row r="271" spans="1:2" x14ac:dyDescent="0.3">
      <c r="A271" s="42">
        <v>1387</v>
      </c>
      <c r="B271" s="40" t="s">
        <v>340</v>
      </c>
    </row>
    <row r="272" spans="1:2" x14ac:dyDescent="0.3">
      <c r="A272" s="42">
        <v>1388</v>
      </c>
      <c r="B272" s="40" t="s">
        <v>341</v>
      </c>
    </row>
    <row r="273" spans="1:2" x14ac:dyDescent="0.3">
      <c r="A273" s="42">
        <v>1389</v>
      </c>
      <c r="B273" s="40" t="s">
        <v>342</v>
      </c>
    </row>
    <row r="274" spans="1:2" x14ac:dyDescent="0.3">
      <c r="A274" s="42">
        <v>1390</v>
      </c>
      <c r="B274" s="40" t="s">
        <v>343</v>
      </c>
    </row>
    <row r="275" spans="1:2" x14ac:dyDescent="0.3">
      <c r="A275" s="42">
        <v>1391</v>
      </c>
      <c r="B275" s="40" t="s">
        <v>344</v>
      </c>
    </row>
    <row r="276" spans="1:2" x14ac:dyDescent="0.3">
      <c r="A276" s="42">
        <v>1392</v>
      </c>
      <c r="B276" s="40" t="s">
        <v>345</v>
      </c>
    </row>
    <row r="277" spans="1:2" x14ac:dyDescent="0.3">
      <c r="A277" s="42">
        <v>1393</v>
      </c>
      <c r="B277" s="40" t="s">
        <v>346</v>
      </c>
    </row>
    <row r="278" spans="1:2" x14ac:dyDescent="0.3">
      <c r="A278" s="42">
        <v>1395</v>
      </c>
      <c r="B278" s="40" t="s">
        <v>347</v>
      </c>
    </row>
    <row r="279" spans="1:2" x14ac:dyDescent="0.3">
      <c r="A279" s="42">
        <v>1396</v>
      </c>
      <c r="B279" s="40" t="s">
        <v>348</v>
      </c>
    </row>
    <row r="280" spans="1:2" x14ac:dyDescent="0.3">
      <c r="A280" s="42">
        <v>1397</v>
      </c>
      <c r="B280" s="40" t="s">
        <v>349</v>
      </c>
    </row>
    <row r="281" spans="1:2" x14ac:dyDescent="0.3">
      <c r="A281" s="42">
        <v>1398</v>
      </c>
      <c r="B281" s="40" t="s">
        <v>350</v>
      </c>
    </row>
    <row r="282" spans="1:2" x14ac:dyDescent="0.3">
      <c r="A282" s="42">
        <v>1399</v>
      </c>
      <c r="B282" s="40" t="s">
        <v>351</v>
      </c>
    </row>
    <row r="283" spans="1:2" x14ac:dyDescent="0.3">
      <c r="A283" s="42">
        <v>1400</v>
      </c>
      <c r="B283" s="40" t="s">
        <v>352</v>
      </c>
    </row>
    <row r="284" spans="1:2" x14ac:dyDescent="0.3">
      <c r="A284" s="42">
        <v>1402</v>
      </c>
      <c r="B284" s="40" t="s">
        <v>353</v>
      </c>
    </row>
    <row r="285" spans="1:2" x14ac:dyDescent="0.3">
      <c r="A285" s="42">
        <v>1404</v>
      </c>
      <c r="B285" s="40" t="s">
        <v>354</v>
      </c>
    </row>
    <row r="286" spans="1:2" x14ac:dyDescent="0.3">
      <c r="A286" s="42">
        <v>1405</v>
      </c>
      <c r="B286" s="40" t="s">
        <v>355</v>
      </c>
    </row>
    <row r="287" spans="1:2" x14ac:dyDescent="0.3">
      <c r="A287" s="42">
        <v>1407</v>
      </c>
      <c r="B287" s="40" t="s">
        <v>356</v>
      </c>
    </row>
    <row r="288" spans="1:2" x14ac:dyDescent="0.3">
      <c r="A288" s="42">
        <v>1408</v>
      </c>
      <c r="B288" s="40" t="s">
        <v>357</v>
      </c>
    </row>
    <row r="289" spans="1:2" x14ac:dyDescent="0.3">
      <c r="A289" s="42">
        <v>1409</v>
      </c>
      <c r="B289" s="40" t="s">
        <v>358</v>
      </c>
    </row>
    <row r="290" spans="1:2" x14ac:dyDescent="0.3">
      <c r="A290" s="42">
        <v>1411</v>
      </c>
      <c r="B290" s="40" t="s">
        <v>359</v>
      </c>
    </row>
    <row r="291" spans="1:2" x14ac:dyDescent="0.3">
      <c r="A291" s="42">
        <v>1412</v>
      </c>
      <c r="B291" s="40" t="s">
        <v>360</v>
      </c>
    </row>
    <row r="292" spans="1:2" x14ac:dyDescent="0.3">
      <c r="A292" s="42">
        <v>1413</v>
      </c>
      <c r="B292" s="40" t="s">
        <v>361</v>
      </c>
    </row>
    <row r="293" spans="1:2" x14ac:dyDescent="0.3">
      <c r="A293" s="42">
        <v>1415</v>
      </c>
      <c r="B293" s="40" t="s">
        <v>362</v>
      </c>
    </row>
    <row r="294" spans="1:2" x14ac:dyDescent="0.3">
      <c r="A294" s="42">
        <v>1416</v>
      </c>
      <c r="B294" s="40" t="s">
        <v>363</v>
      </c>
    </row>
    <row r="295" spans="1:2" x14ac:dyDescent="0.3">
      <c r="A295" s="42">
        <v>1417</v>
      </c>
      <c r="B295" s="40" t="s">
        <v>364</v>
      </c>
    </row>
    <row r="296" spans="1:2" x14ac:dyDescent="0.3">
      <c r="A296" s="42">
        <v>1418</v>
      </c>
      <c r="B296" s="40" t="s">
        <v>365</v>
      </c>
    </row>
    <row r="297" spans="1:2" x14ac:dyDescent="0.3">
      <c r="A297" s="42">
        <v>1420</v>
      </c>
      <c r="B297" s="40" t="s">
        <v>366</v>
      </c>
    </row>
    <row r="298" spans="1:2" x14ac:dyDescent="0.3">
      <c r="A298" s="42">
        <v>1421</v>
      </c>
      <c r="B298" s="40" t="s">
        <v>367</v>
      </c>
    </row>
    <row r="299" spans="1:2" x14ac:dyDescent="0.3">
      <c r="A299" s="42">
        <v>1422</v>
      </c>
      <c r="B299" s="40" t="s">
        <v>368</v>
      </c>
    </row>
    <row r="300" spans="1:2" x14ac:dyDescent="0.3">
      <c r="A300" s="42">
        <v>1423</v>
      </c>
      <c r="B300" s="40" t="s">
        <v>369</v>
      </c>
    </row>
    <row r="301" spans="1:2" x14ac:dyDescent="0.3">
      <c r="A301" s="42">
        <v>1424</v>
      </c>
      <c r="B301" s="40" t="s">
        <v>370</v>
      </c>
    </row>
    <row r="302" spans="1:2" x14ac:dyDescent="0.3">
      <c r="A302" s="42">
        <v>1425</v>
      </c>
      <c r="B302" s="40" t="s">
        <v>371</v>
      </c>
    </row>
    <row r="303" spans="1:2" x14ac:dyDescent="0.3">
      <c r="A303" s="42">
        <v>1426</v>
      </c>
      <c r="B303" s="40" t="s">
        <v>372</v>
      </c>
    </row>
    <row r="304" spans="1:2" x14ac:dyDescent="0.3">
      <c r="A304" s="42">
        <v>1427</v>
      </c>
      <c r="B304" s="40" t="s">
        <v>373</v>
      </c>
    </row>
    <row r="305" spans="1:2" x14ac:dyDescent="0.3">
      <c r="A305" s="42">
        <v>1428</v>
      </c>
      <c r="B305" s="40" t="s">
        <v>374</v>
      </c>
    </row>
    <row r="306" spans="1:2" x14ac:dyDescent="0.3">
      <c r="A306" s="42">
        <v>1429</v>
      </c>
      <c r="B306" s="40" t="s">
        <v>375</v>
      </c>
    </row>
    <row r="307" spans="1:2" x14ac:dyDescent="0.3">
      <c r="A307" s="42">
        <v>1430</v>
      </c>
      <c r="B307" s="40" t="s">
        <v>376</v>
      </c>
    </row>
    <row r="308" spans="1:2" x14ac:dyDescent="0.3">
      <c r="A308" s="42">
        <v>1431</v>
      </c>
      <c r="B308" s="40" t="s">
        <v>377</v>
      </c>
    </row>
    <row r="309" spans="1:2" x14ac:dyDescent="0.3">
      <c r="A309" s="42">
        <v>1432</v>
      </c>
      <c r="B309" s="40" t="s">
        <v>378</v>
      </c>
    </row>
    <row r="310" spans="1:2" x14ac:dyDescent="0.3">
      <c r="A310" s="42">
        <v>1433</v>
      </c>
      <c r="B310" s="40" t="s">
        <v>379</v>
      </c>
    </row>
    <row r="311" spans="1:2" x14ac:dyDescent="0.3">
      <c r="A311" s="42">
        <v>1434</v>
      </c>
      <c r="B311" s="40" t="s">
        <v>380</v>
      </c>
    </row>
    <row r="312" spans="1:2" x14ac:dyDescent="0.3">
      <c r="A312" s="42">
        <v>1435</v>
      </c>
      <c r="B312" s="40" t="s">
        <v>381</v>
      </c>
    </row>
    <row r="313" spans="1:2" x14ac:dyDescent="0.3">
      <c r="A313" s="42">
        <v>1436</v>
      </c>
      <c r="B313" s="40" t="s">
        <v>382</v>
      </c>
    </row>
    <row r="314" spans="1:2" x14ac:dyDescent="0.3">
      <c r="A314" s="42">
        <v>1437</v>
      </c>
      <c r="B314" s="40" t="s">
        <v>383</v>
      </c>
    </row>
    <row r="315" spans="1:2" x14ac:dyDescent="0.3">
      <c r="A315" s="42">
        <v>1438</v>
      </c>
      <c r="B315" s="40" t="s">
        <v>384</v>
      </c>
    </row>
    <row r="316" spans="1:2" x14ac:dyDescent="0.3">
      <c r="A316" s="42">
        <v>1439</v>
      </c>
      <c r="B316" s="40" t="s">
        <v>385</v>
      </c>
    </row>
    <row r="317" spans="1:2" x14ac:dyDescent="0.3">
      <c r="A317" s="42">
        <v>1441</v>
      </c>
      <c r="B317" s="40" t="s">
        <v>386</v>
      </c>
    </row>
    <row r="318" spans="1:2" x14ac:dyDescent="0.3">
      <c r="A318" s="42">
        <v>1442</v>
      </c>
      <c r="B318" s="40" t="s">
        <v>387</v>
      </c>
    </row>
    <row r="319" spans="1:2" x14ac:dyDescent="0.3">
      <c r="A319" s="42">
        <v>1443</v>
      </c>
      <c r="B319" s="40" t="s">
        <v>388</v>
      </c>
    </row>
    <row r="320" spans="1:2" x14ac:dyDescent="0.3">
      <c r="A320" s="42">
        <v>1445</v>
      </c>
      <c r="B320" s="40" t="s">
        <v>389</v>
      </c>
    </row>
    <row r="321" spans="1:2" x14ac:dyDescent="0.3">
      <c r="A321" s="42">
        <v>1446</v>
      </c>
      <c r="B321" s="40" t="s">
        <v>390</v>
      </c>
    </row>
    <row r="322" spans="1:2" x14ac:dyDescent="0.3">
      <c r="A322" s="42">
        <v>1447</v>
      </c>
      <c r="B322" s="40" t="s">
        <v>391</v>
      </c>
    </row>
    <row r="323" spans="1:2" x14ac:dyDescent="0.3">
      <c r="A323" s="42">
        <v>1448</v>
      </c>
      <c r="B323" s="40" t="s">
        <v>392</v>
      </c>
    </row>
    <row r="324" spans="1:2" x14ac:dyDescent="0.3">
      <c r="A324" s="42">
        <v>1449</v>
      </c>
      <c r="B324" s="40" t="s">
        <v>393</v>
      </c>
    </row>
    <row r="325" spans="1:2" x14ac:dyDescent="0.3">
      <c r="A325" s="42">
        <v>1450</v>
      </c>
      <c r="B325" s="40" t="s">
        <v>394</v>
      </c>
    </row>
    <row r="326" spans="1:2" x14ac:dyDescent="0.3">
      <c r="A326" s="42">
        <v>1451</v>
      </c>
      <c r="B326" s="40" t="s">
        <v>395</v>
      </c>
    </row>
    <row r="327" spans="1:2" x14ac:dyDescent="0.3">
      <c r="A327" s="42">
        <v>1452</v>
      </c>
      <c r="B327" s="40" t="s">
        <v>396</v>
      </c>
    </row>
    <row r="328" spans="1:2" x14ac:dyDescent="0.3">
      <c r="A328" s="42">
        <v>1453</v>
      </c>
      <c r="B328" s="40" t="s">
        <v>397</v>
      </c>
    </row>
    <row r="329" spans="1:2" x14ac:dyDescent="0.3">
      <c r="A329" s="42">
        <v>1456</v>
      </c>
      <c r="B329" s="40" t="s">
        <v>398</v>
      </c>
    </row>
    <row r="330" spans="1:2" x14ac:dyDescent="0.3">
      <c r="A330" s="42">
        <v>1457</v>
      </c>
      <c r="B330" s="40" t="s">
        <v>399</v>
      </c>
    </row>
    <row r="331" spans="1:2" x14ac:dyDescent="0.3">
      <c r="A331" s="42">
        <v>1458</v>
      </c>
      <c r="B331" s="40" t="s">
        <v>400</v>
      </c>
    </row>
    <row r="332" spans="1:2" x14ac:dyDescent="0.3">
      <c r="A332" s="42">
        <v>1460</v>
      </c>
      <c r="B332" s="40" t="s">
        <v>401</v>
      </c>
    </row>
    <row r="333" spans="1:2" x14ac:dyDescent="0.3">
      <c r="A333" s="42">
        <v>1461</v>
      </c>
      <c r="B333" s="40" t="s">
        <v>402</v>
      </c>
    </row>
    <row r="334" spans="1:2" x14ac:dyDescent="0.3">
      <c r="A334" s="42">
        <v>1462</v>
      </c>
      <c r="B334" s="40" t="s">
        <v>403</v>
      </c>
    </row>
    <row r="335" spans="1:2" x14ac:dyDescent="0.3">
      <c r="A335" s="42">
        <v>1463</v>
      </c>
      <c r="B335" s="40" t="s">
        <v>404</v>
      </c>
    </row>
    <row r="336" spans="1:2" x14ac:dyDescent="0.3">
      <c r="A336" s="42">
        <v>1464</v>
      </c>
      <c r="B336" s="40" t="s">
        <v>405</v>
      </c>
    </row>
    <row r="337" spans="1:2" x14ac:dyDescent="0.3">
      <c r="A337" s="42">
        <v>1466</v>
      </c>
      <c r="B337" s="40" t="s">
        <v>406</v>
      </c>
    </row>
    <row r="338" spans="1:2" x14ac:dyDescent="0.3">
      <c r="A338" s="42">
        <v>1467</v>
      </c>
      <c r="B338" s="40" t="s">
        <v>407</v>
      </c>
    </row>
    <row r="339" spans="1:2" x14ac:dyDescent="0.3">
      <c r="A339" s="42">
        <v>1468</v>
      </c>
      <c r="B339" s="40" t="s">
        <v>408</v>
      </c>
    </row>
    <row r="340" spans="1:2" x14ac:dyDescent="0.3">
      <c r="A340" s="42">
        <v>1469</v>
      </c>
      <c r="B340" s="40" t="s">
        <v>409</v>
      </c>
    </row>
    <row r="341" spans="1:2" x14ac:dyDescent="0.3">
      <c r="A341" s="42">
        <v>1470</v>
      </c>
      <c r="B341" s="40" t="s">
        <v>410</v>
      </c>
    </row>
    <row r="342" spans="1:2" x14ac:dyDescent="0.3">
      <c r="A342" s="42">
        <v>1472</v>
      </c>
      <c r="B342" s="40" t="s">
        <v>411</v>
      </c>
    </row>
    <row r="343" spans="1:2" x14ac:dyDescent="0.3">
      <c r="A343" s="42">
        <v>1474</v>
      </c>
      <c r="B343" s="40" t="s">
        <v>412</v>
      </c>
    </row>
    <row r="344" spans="1:2" x14ac:dyDescent="0.3">
      <c r="A344" s="42">
        <v>1475</v>
      </c>
      <c r="B344" s="40" t="s">
        <v>413</v>
      </c>
    </row>
    <row r="345" spans="1:2" x14ac:dyDescent="0.3">
      <c r="A345" s="42">
        <v>1476</v>
      </c>
      <c r="B345" s="40" t="s">
        <v>414</v>
      </c>
    </row>
    <row r="346" spans="1:2" x14ac:dyDescent="0.3">
      <c r="A346" s="42">
        <v>1477</v>
      </c>
      <c r="B346" s="40" t="s">
        <v>415</v>
      </c>
    </row>
    <row r="347" spans="1:2" x14ac:dyDescent="0.3">
      <c r="A347" s="42">
        <v>1478</v>
      </c>
      <c r="B347" s="40" t="s">
        <v>416</v>
      </c>
    </row>
    <row r="348" spans="1:2" x14ac:dyDescent="0.3">
      <c r="A348" s="42">
        <v>1479</v>
      </c>
      <c r="B348" s="40" t="s">
        <v>417</v>
      </c>
    </row>
    <row r="349" spans="1:2" x14ac:dyDescent="0.3">
      <c r="A349" s="42">
        <v>1480</v>
      </c>
      <c r="B349" s="40" t="s">
        <v>418</v>
      </c>
    </row>
    <row r="350" spans="1:2" x14ac:dyDescent="0.3">
      <c r="A350" s="42">
        <v>1481</v>
      </c>
      <c r="B350" s="40" t="s">
        <v>419</v>
      </c>
    </row>
    <row r="351" spans="1:2" x14ac:dyDescent="0.3">
      <c r="A351" s="42">
        <v>1482</v>
      </c>
      <c r="B351" s="40" t="s">
        <v>420</v>
      </c>
    </row>
    <row r="352" spans="1:2" x14ac:dyDescent="0.3">
      <c r="A352" s="42">
        <v>1483</v>
      </c>
      <c r="B352" s="40" t="s">
        <v>421</v>
      </c>
    </row>
    <row r="353" spans="1:2" x14ac:dyDescent="0.3">
      <c r="A353" s="42">
        <v>1484</v>
      </c>
      <c r="B353" s="40" t="s">
        <v>422</v>
      </c>
    </row>
    <row r="354" spans="1:2" x14ac:dyDescent="0.3">
      <c r="A354" s="42">
        <v>1486</v>
      </c>
      <c r="B354" s="40" t="s">
        <v>423</v>
      </c>
    </row>
    <row r="355" spans="1:2" x14ac:dyDescent="0.3">
      <c r="A355" s="42">
        <v>1487</v>
      </c>
      <c r="B355" s="40" t="s">
        <v>424</v>
      </c>
    </row>
    <row r="356" spans="1:2" x14ac:dyDescent="0.3">
      <c r="A356" s="42">
        <v>1488</v>
      </c>
      <c r="B356" s="40" t="s">
        <v>425</v>
      </c>
    </row>
    <row r="357" spans="1:2" x14ac:dyDescent="0.3">
      <c r="A357" s="42">
        <v>1489</v>
      </c>
      <c r="B357" s="40" t="s">
        <v>426</v>
      </c>
    </row>
    <row r="358" spans="1:2" x14ac:dyDescent="0.3">
      <c r="A358" s="42">
        <v>1491</v>
      </c>
      <c r="B358" s="40" t="s">
        <v>427</v>
      </c>
    </row>
    <row r="359" spans="1:2" x14ac:dyDescent="0.3">
      <c r="A359" s="42">
        <v>1493</v>
      </c>
      <c r="B359" s="40" t="s">
        <v>428</v>
      </c>
    </row>
    <row r="360" spans="1:2" x14ac:dyDescent="0.3">
      <c r="A360" s="42">
        <v>1494</v>
      </c>
      <c r="B360" s="40" t="s">
        <v>429</v>
      </c>
    </row>
    <row r="361" spans="1:2" x14ac:dyDescent="0.3">
      <c r="A361" s="42">
        <v>1495</v>
      </c>
      <c r="B361" s="40" t="s">
        <v>430</v>
      </c>
    </row>
    <row r="362" spans="1:2" x14ac:dyDescent="0.3">
      <c r="A362" s="42">
        <v>1496</v>
      </c>
      <c r="B362" s="40" t="s">
        <v>431</v>
      </c>
    </row>
    <row r="363" spans="1:2" x14ac:dyDescent="0.3">
      <c r="A363" s="42">
        <v>1497</v>
      </c>
      <c r="B363" s="40" t="s">
        <v>432</v>
      </c>
    </row>
    <row r="364" spans="1:2" x14ac:dyDescent="0.3">
      <c r="A364" s="42">
        <v>1498</v>
      </c>
      <c r="B364" s="40" t="s">
        <v>433</v>
      </c>
    </row>
    <row r="365" spans="1:2" x14ac:dyDescent="0.3">
      <c r="A365" s="42">
        <v>1499</v>
      </c>
      <c r="B365" s="40" t="s">
        <v>434</v>
      </c>
    </row>
    <row r="366" spans="1:2" x14ac:dyDescent="0.3">
      <c r="A366" s="42">
        <v>1500</v>
      </c>
      <c r="B366" s="40" t="s">
        <v>435</v>
      </c>
    </row>
    <row r="367" spans="1:2" x14ac:dyDescent="0.3">
      <c r="A367" s="42">
        <v>1501</v>
      </c>
      <c r="B367" s="40" t="s">
        <v>436</v>
      </c>
    </row>
    <row r="368" spans="1:2" x14ac:dyDescent="0.3">
      <c r="A368" s="42">
        <v>1502</v>
      </c>
      <c r="B368" s="40" t="s">
        <v>437</v>
      </c>
    </row>
    <row r="369" spans="1:2" x14ac:dyDescent="0.3">
      <c r="A369" s="42">
        <v>1503</v>
      </c>
      <c r="B369" s="40" t="s">
        <v>438</v>
      </c>
    </row>
    <row r="370" spans="1:2" x14ac:dyDescent="0.3">
      <c r="A370" s="42">
        <v>1504</v>
      </c>
      <c r="B370" s="40" t="s">
        <v>439</v>
      </c>
    </row>
    <row r="371" spans="1:2" x14ac:dyDescent="0.3">
      <c r="A371" s="42">
        <v>1505</v>
      </c>
      <c r="B371" s="40" t="s">
        <v>440</v>
      </c>
    </row>
    <row r="372" spans="1:2" x14ac:dyDescent="0.3">
      <c r="A372" s="42">
        <v>1506</v>
      </c>
      <c r="B372" s="40" t="s">
        <v>441</v>
      </c>
    </row>
    <row r="373" spans="1:2" x14ac:dyDescent="0.3">
      <c r="A373" s="42">
        <v>1507</v>
      </c>
      <c r="B373" s="40" t="s">
        <v>442</v>
      </c>
    </row>
    <row r="374" spans="1:2" x14ac:dyDescent="0.3">
      <c r="A374" s="42">
        <v>1508</v>
      </c>
      <c r="B374" s="40" t="s">
        <v>443</v>
      </c>
    </row>
    <row r="375" spans="1:2" x14ac:dyDescent="0.3">
      <c r="A375" s="42">
        <v>1509</v>
      </c>
      <c r="B375" s="40" t="s">
        <v>444</v>
      </c>
    </row>
    <row r="376" spans="1:2" x14ac:dyDescent="0.3">
      <c r="A376" s="42">
        <v>1510</v>
      </c>
      <c r="B376" s="40" t="s">
        <v>445</v>
      </c>
    </row>
    <row r="377" spans="1:2" x14ac:dyDescent="0.3">
      <c r="A377" s="42">
        <v>1511</v>
      </c>
      <c r="B377" s="40" t="s">
        <v>446</v>
      </c>
    </row>
    <row r="378" spans="1:2" x14ac:dyDescent="0.3">
      <c r="A378" s="42">
        <v>1512</v>
      </c>
      <c r="B378" s="40" t="s">
        <v>447</v>
      </c>
    </row>
    <row r="379" spans="1:2" x14ac:dyDescent="0.3">
      <c r="A379" s="42">
        <v>1513</v>
      </c>
      <c r="B379" s="40" t="s">
        <v>448</v>
      </c>
    </row>
    <row r="380" spans="1:2" x14ac:dyDescent="0.3">
      <c r="A380" s="42">
        <v>1514</v>
      </c>
      <c r="B380" s="40" t="s">
        <v>449</v>
      </c>
    </row>
    <row r="381" spans="1:2" x14ac:dyDescent="0.3">
      <c r="A381" s="42">
        <v>1516</v>
      </c>
      <c r="B381" s="40" t="s">
        <v>450</v>
      </c>
    </row>
    <row r="382" spans="1:2" x14ac:dyDescent="0.3">
      <c r="A382" s="42">
        <v>1517</v>
      </c>
      <c r="B382" s="40" t="s">
        <v>451</v>
      </c>
    </row>
    <row r="383" spans="1:2" x14ac:dyDescent="0.3">
      <c r="A383" s="42">
        <v>1518</v>
      </c>
      <c r="B383" s="40" t="s">
        <v>452</v>
      </c>
    </row>
    <row r="384" spans="1:2" x14ac:dyDescent="0.3">
      <c r="A384" s="42">
        <v>1519</v>
      </c>
      <c r="B384" s="40" t="s">
        <v>1386</v>
      </c>
    </row>
    <row r="385" spans="1:2" x14ac:dyDescent="0.3">
      <c r="A385" s="42">
        <v>1520</v>
      </c>
      <c r="B385" s="40" t="s">
        <v>453</v>
      </c>
    </row>
    <row r="386" spans="1:2" x14ac:dyDescent="0.3">
      <c r="A386" s="42">
        <v>1522</v>
      </c>
      <c r="B386" s="40" t="s">
        <v>454</v>
      </c>
    </row>
    <row r="387" spans="1:2" x14ac:dyDescent="0.3">
      <c r="A387" s="42">
        <v>1523</v>
      </c>
      <c r="B387" s="40" t="s">
        <v>455</v>
      </c>
    </row>
    <row r="388" spans="1:2" x14ac:dyDescent="0.3">
      <c r="A388" s="42">
        <v>1524</v>
      </c>
      <c r="B388" s="40" t="s">
        <v>456</v>
      </c>
    </row>
    <row r="389" spans="1:2" x14ac:dyDescent="0.3">
      <c r="A389" s="42">
        <v>1525</v>
      </c>
      <c r="B389" s="40" t="s">
        <v>457</v>
      </c>
    </row>
    <row r="390" spans="1:2" x14ac:dyDescent="0.3">
      <c r="A390" s="42">
        <v>1527</v>
      </c>
      <c r="B390" s="40" t="s">
        <v>458</v>
      </c>
    </row>
    <row r="391" spans="1:2" x14ac:dyDescent="0.3">
      <c r="A391" s="42">
        <v>1529</v>
      </c>
      <c r="B391" s="40" t="s">
        <v>459</v>
      </c>
    </row>
    <row r="392" spans="1:2" x14ac:dyDescent="0.3">
      <c r="A392" s="42">
        <v>1530</v>
      </c>
      <c r="B392" s="40" t="s">
        <v>460</v>
      </c>
    </row>
    <row r="393" spans="1:2" x14ac:dyDescent="0.3">
      <c r="A393" s="42">
        <v>1531</v>
      </c>
      <c r="B393" s="40" t="s">
        <v>461</v>
      </c>
    </row>
    <row r="394" spans="1:2" x14ac:dyDescent="0.3">
      <c r="A394" s="42">
        <v>1532</v>
      </c>
      <c r="B394" s="40" t="s">
        <v>462</v>
      </c>
    </row>
    <row r="395" spans="1:2" x14ac:dyDescent="0.3">
      <c r="A395" s="42">
        <v>1533</v>
      </c>
      <c r="B395" s="40" t="s">
        <v>463</v>
      </c>
    </row>
    <row r="396" spans="1:2" x14ac:dyDescent="0.3">
      <c r="A396" s="42">
        <v>1534</v>
      </c>
      <c r="B396" s="40" t="s">
        <v>464</v>
      </c>
    </row>
    <row r="397" spans="1:2" x14ac:dyDescent="0.3">
      <c r="A397" s="42">
        <v>1535</v>
      </c>
      <c r="B397" s="40" t="s">
        <v>465</v>
      </c>
    </row>
    <row r="398" spans="1:2" x14ac:dyDescent="0.3">
      <c r="A398" s="42">
        <v>1536</v>
      </c>
      <c r="B398" s="40" t="s">
        <v>466</v>
      </c>
    </row>
    <row r="399" spans="1:2" x14ac:dyDescent="0.3">
      <c r="A399" s="42">
        <v>1537</v>
      </c>
      <c r="B399" s="40" t="s">
        <v>467</v>
      </c>
    </row>
    <row r="400" spans="1:2" x14ac:dyDescent="0.3">
      <c r="A400" s="42">
        <v>1538</v>
      </c>
      <c r="B400" s="40" t="s">
        <v>468</v>
      </c>
    </row>
    <row r="401" spans="1:2" x14ac:dyDescent="0.3">
      <c r="A401" s="42">
        <v>1539</v>
      </c>
      <c r="B401" s="40" t="s">
        <v>469</v>
      </c>
    </row>
    <row r="402" spans="1:2" x14ac:dyDescent="0.3">
      <c r="A402" s="42">
        <v>1540</v>
      </c>
      <c r="B402" s="40" t="s">
        <v>470</v>
      </c>
    </row>
    <row r="403" spans="1:2" x14ac:dyDescent="0.3">
      <c r="A403" s="42">
        <v>1541</v>
      </c>
      <c r="B403" s="40" t="s">
        <v>471</v>
      </c>
    </row>
    <row r="404" spans="1:2" x14ac:dyDescent="0.3">
      <c r="A404" s="42">
        <v>1542</v>
      </c>
      <c r="B404" s="40" t="s">
        <v>472</v>
      </c>
    </row>
    <row r="405" spans="1:2" x14ac:dyDescent="0.3">
      <c r="A405" s="42">
        <v>1543</v>
      </c>
      <c r="B405" s="40" t="s">
        <v>473</v>
      </c>
    </row>
    <row r="406" spans="1:2" x14ac:dyDescent="0.3">
      <c r="A406" s="42">
        <v>1544</v>
      </c>
      <c r="B406" s="40" t="s">
        <v>474</v>
      </c>
    </row>
    <row r="407" spans="1:2" x14ac:dyDescent="0.3">
      <c r="A407" s="42">
        <v>1545</v>
      </c>
      <c r="B407" s="40" t="s">
        <v>475</v>
      </c>
    </row>
    <row r="408" spans="1:2" x14ac:dyDescent="0.3">
      <c r="A408" s="42">
        <v>1546</v>
      </c>
      <c r="B408" s="40" t="s">
        <v>476</v>
      </c>
    </row>
    <row r="409" spans="1:2" x14ac:dyDescent="0.3">
      <c r="A409" s="42">
        <v>1547</v>
      </c>
      <c r="B409" s="40" t="s">
        <v>477</v>
      </c>
    </row>
    <row r="410" spans="1:2" x14ac:dyDescent="0.3">
      <c r="A410" s="42">
        <v>1548</v>
      </c>
      <c r="B410" s="40" t="s">
        <v>478</v>
      </c>
    </row>
    <row r="411" spans="1:2" x14ac:dyDescent="0.3">
      <c r="A411" s="42">
        <v>1549</v>
      </c>
      <c r="B411" s="40" t="s">
        <v>479</v>
      </c>
    </row>
    <row r="412" spans="1:2" x14ac:dyDescent="0.3">
      <c r="A412" s="42">
        <v>1551</v>
      </c>
      <c r="B412" s="40" t="s">
        <v>480</v>
      </c>
    </row>
    <row r="413" spans="1:2" x14ac:dyDescent="0.3">
      <c r="A413" s="42">
        <v>1552</v>
      </c>
      <c r="B413" s="40" t="s">
        <v>481</v>
      </c>
    </row>
    <row r="414" spans="1:2" x14ac:dyDescent="0.3">
      <c r="A414" s="42">
        <v>1553</v>
      </c>
      <c r="B414" s="40" t="s">
        <v>482</v>
      </c>
    </row>
    <row r="415" spans="1:2" x14ac:dyDescent="0.3">
      <c r="A415" s="42">
        <v>1554</v>
      </c>
      <c r="B415" s="40" t="s">
        <v>483</v>
      </c>
    </row>
    <row r="416" spans="1:2" x14ac:dyDescent="0.3">
      <c r="A416" s="42">
        <v>1556</v>
      </c>
      <c r="B416" s="40" t="s">
        <v>484</v>
      </c>
    </row>
    <row r="417" spans="1:2" x14ac:dyDescent="0.3">
      <c r="A417" s="42">
        <v>1557</v>
      </c>
      <c r="B417" s="40" t="s">
        <v>485</v>
      </c>
    </row>
    <row r="418" spans="1:2" x14ac:dyDescent="0.3">
      <c r="A418" s="42">
        <v>1558</v>
      </c>
      <c r="B418" s="40" t="s">
        <v>486</v>
      </c>
    </row>
    <row r="419" spans="1:2" x14ac:dyDescent="0.3">
      <c r="A419" s="42">
        <v>1559</v>
      </c>
      <c r="B419" s="40" t="s">
        <v>487</v>
      </c>
    </row>
    <row r="420" spans="1:2" x14ac:dyDescent="0.3">
      <c r="A420" s="42">
        <v>1560</v>
      </c>
      <c r="B420" s="40" t="s">
        <v>488</v>
      </c>
    </row>
    <row r="421" spans="1:2" x14ac:dyDescent="0.3">
      <c r="A421" s="42">
        <v>1561</v>
      </c>
      <c r="B421" s="40" t="s">
        <v>489</v>
      </c>
    </row>
    <row r="422" spans="1:2" x14ac:dyDescent="0.3">
      <c r="A422" s="42">
        <v>1562</v>
      </c>
      <c r="B422" s="40" t="s">
        <v>490</v>
      </c>
    </row>
    <row r="423" spans="1:2" x14ac:dyDescent="0.3">
      <c r="A423" s="42">
        <v>1563</v>
      </c>
      <c r="B423" s="40" t="s">
        <v>491</v>
      </c>
    </row>
    <row r="424" spans="1:2" x14ac:dyDescent="0.3">
      <c r="A424" s="42">
        <v>1564</v>
      </c>
      <c r="B424" s="40" t="s">
        <v>492</v>
      </c>
    </row>
    <row r="425" spans="1:2" x14ac:dyDescent="0.3">
      <c r="A425" s="42">
        <v>1565</v>
      </c>
      <c r="B425" s="40" t="s">
        <v>493</v>
      </c>
    </row>
    <row r="426" spans="1:2" x14ac:dyDescent="0.3">
      <c r="A426" s="42">
        <v>1566</v>
      </c>
      <c r="B426" s="40" t="s">
        <v>494</v>
      </c>
    </row>
    <row r="427" spans="1:2" x14ac:dyDescent="0.3">
      <c r="A427" s="42">
        <v>1567</v>
      </c>
      <c r="B427" s="40" t="s">
        <v>495</v>
      </c>
    </row>
    <row r="428" spans="1:2" x14ac:dyDescent="0.3">
      <c r="A428" s="42">
        <v>1568</v>
      </c>
      <c r="B428" s="40" t="s">
        <v>496</v>
      </c>
    </row>
    <row r="429" spans="1:2" x14ac:dyDescent="0.3">
      <c r="A429" s="42">
        <v>1569</v>
      </c>
      <c r="B429" s="40" t="s">
        <v>497</v>
      </c>
    </row>
    <row r="430" spans="1:2" x14ac:dyDescent="0.3">
      <c r="A430" s="42">
        <v>1570</v>
      </c>
      <c r="B430" s="40" t="s">
        <v>498</v>
      </c>
    </row>
    <row r="431" spans="1:2" x14ac:dyDescent="0.3">
      <c r="A431" s="42">
        <v>1571</v>
      </c>
      <c r="B431" s="40" t="s">
        <v>499</v>
      </c>
    </row>
    <row r="432" spans="1:2" x14ac:dyDescent="0.3">
      <c r="A432" s="42">
        <v>1572</v>
      </c>
      <c r="B432" s="40" t="s">
        <v>500</v>
      </c>
    </row>
    <row r="433" spans="1:2" x14ac:dyDescent="0.3">
      <c r="A433" s="42">
        <v>1575</v>
      </c>
      <c r="B433" s="40" t="s">
        <v>501</v>
      </c>
    </row>
    <row r="434" spans="1:2" x14ac:dyDescent="0.3">
      <c r="A434" s="42">
        <v>1576</v>
      </c>
      <c r="B434" s="40" t="s">
        <v>502</v>
      </c>
    </row>
    <row r="435" spans="1:2" x14ac:dyDescent="0.3">
      <c r="A435" s="42">
        <v>1577</v>
      </c>
      <c r="B435" s="40" t="s">
        <v>503</v>
      </c>
    </row>
    <row r="436" spans="1:2" x14ac:dyDescent="0.3">
      <c r="A436" s="42">
        <v>1578</v>
      </c>
      <c r="B436" s="40" t="s">
        <v>504</v>
      </c>
    </row>
    <row r="437" spans="1:2" x14ac:dyDescent="0.3">
      <c r="A437" s="42">
        <v>1579</v>
      </c>
      <c r="B437" s="40" t="s">
        <v>505</v>
      </c>
    </row>
    <row r="438" spans="1:2" x14ac:dyDescent="0.3">
      <c r="A438" s="42">
        <v>1580</v>
      </c>
      <c r="B438" s="40" t="s">
        <v>506</v>
      </c>
    </row>
    <row r="439" spans="1:2" x14ac:dyDescent="0.3">
      <c r="A439" s="42">
        <v>1588</v>
      </c>
      <c r="B439" s="40" t="s">
        <v>507</v>
      </c>
    </row>
    <row r="440" spans="1:2" x14ac:dyDescent="0.3">
      <c r="A440" s="42">
        <v>1589</v>
      </c>
      <c r="B440" s="40" t="s">
        <v>508</v>
      </c>
    </row>
    <row r="441" spans="1:2" x14ac:dyDescent="0.3">
      <c r="A441" s="42">
        <v>1590</v>
      </c>
      <c r="B441" s="40" t="s">
        <v>509</v>
      </c>
    </row>
    <row r="442" spans="1:2" x14ac:dyDescent="0.3">
      <c r="A442" s="42">
        <v>1591</v>
      </c>
      <c r="B442" s="40" t="s">
        <v>510</v>
      </c>
    </row>
    <row r="443" spans="1:2" x14ac:dyDescent="0.3">
      <c r="A443" s="42">
        <v>1592</v>
      </c>
      <c r="B443" s="40" t="s">
        <v>511</v>
      </c>
    </row>
    <row r="444" spans="1:2" x14ac:dyDescent="0.3">
      <c r="A444" s="42">
        <v>1593</v>
      </c>
      <c r="B444" s="40" t="s">
        <v>512</v>
      </c>
    </row>
    <row r="445" spans="1:2" x14ac:dyDescent="0.3">
      <c r="A445" s="42">
        <v>1594</v>
      </c>
      <c r="B445" s="40" t="s">
        <v>513</v>
      </c>
    </row>
    <row r="446" spans="1:2" x14ac:dyDescent="0.3">
      <c r="A446" s="42">
        <v>1596</v>
      </c>
      <c r="B446" s="40" t="s">
        <v>514</v>
      </c>
    </row>
    <row r="447" spans="1:2" x14ac:dyDescent="0.3">
      <c r="A447" s="42">
        <v>1597</v>
      </c>
      <c r="B447" s="40" t="s">
        <v>515</v>
      </c>
    </row>
    <row r="448" spans="1:2" x14ac:dyDescent="0.3">
      <c r="A448" s="42">
        <v>1598</v>
      </c>
      <c r="B448" s="40" t="s">
        <v>516</v>
      </c>
    </row>
    <row r="449" spans="1:2" x14ac:dyDescent="0.3">
      <c r="A449" s="42">
        <v>1599</v>
      </c>
      <c r="B449" s="40" t="s">
        <v>517</v>
      </c>
    </row>
    <row r="450" spans="1:2" x14ac:dyDescent="0.3">
      <c r="A450" s="42">
        <v>1601</v>
      </c>
      <c r="B450" s="40" t="s">
        <v>518</v>
      </c>
    </row>
    <row r="451" spans="1:2" x14ac:dyDescent="0.3">
      <c r="A451" s="42">
        <v>1602</v>
      </c>
      <c r="B451" s="40" t="s">
        <v>519</v>
      </c>
    </row>
    <row r="452" spans="1:2" x14ac:dyDescent="0.3">
      <c r="A452" s="42">
        <v>1603</v>
      </c>
      <c r="B452" s="40" t="s">
        <v>520</v>
      </c>
    </row>
    <row r="453" spans="1:2" x14ac:dyDescent="0.3">
      <c r="A453" s="42">
        <v>1604</v>
      </c>
      <c r="B453" s="40" t="s">
        <v>521</v>
      </c>
    </row>
    <row r="454" spans="1:2" x14ac:dyDescent="0.3">
      <c r="A454" s="42">
        <v>1605</v>
      </c>
      <c r="B454" s="40" t="s">
        <v>522</v>
      </c>
    </row>
    <row r="455" spans="1:2" x14ac:dyDescent="0.3">
      <c r="A455" s="42">
        <v>1606</v>
      </c>
      <c r="B455" s="40" t="s">
        <v>523</v>
      </c>
    </row>
    <row r="456" spans="1:2" x14ac:dyDescent="0.3">
      <c r="A456" s="42">
        <v>1607</v>
      </c>
      <c r="B456" s="40" t="s">
        <v>524</v>
      </c>
    </row>
    <row r="457" spans="1:2" x14ac:dyDescent="0.3">
      <c r="A457" s="42">
        <v>1608</v>
      </c>
      <c r="B457" s="40" t="s">
        <v>525</v>
      </c>
    </row>
    <row r="458" spans="1:2" x14ac:dyDescent="0.3">
      <c r="A458" s="42">
        <v>1609</v>
      </c>
      <c r="B458" s="40" t="s">
        <v>526</v>
      </c>
    </row>
    <row r="459" spans="1:2" x14ac:dyDescent="0.3">
      <c r="A459" s="42">
        <v>1611</v>
      </c>
      <c r="B459" s="40" t="s">
        <v>527</v>
      </c>
    </row>
    <row r="460" spans="1:2" x14ac:dyDescent="0.3">
      <c r="A460" s="42">
        <v>1612</v>
      </c>
      <c r="B460" s="40" t="s">
        <v>528</v>
      </c>
    </row>
    <row r="461" spans="1:2" x14ac:dyDescent="0.3">
      <c r="A461" s="42">
        <v>1613</v>
      </c>
      <c r="B461" s="40" t="s">
        <v>529</v>
      </c>
    </row>
    <row r="462" spans="1:2" x14ac:dyDescent="0.3">
      <c r="A462" s="42">
        <v>1614</v>
      </c>
      <c r="B462" s="40" t="s">
        <v>530</v>
      </c>
    </row>
    <row r="463" spans="1:2" x14ac:dyDescent="0.3">
      <c r="A463" s="42">
        <v>1615</v>
      </c>
      <c r="B463" s="40" t="s">
        <v>531</v>
      </c>
    </row>
    <row r="464" spans="1:2" x14ac:dyDescent="0.3">
      <c r="A464" s="42">
        <v>1616</v>
      </c>
      <c r="B464" s="40" t="s">
        <v>532</v>
      </c>
    </row>
    <row r="465" spans="1:2" x14ac:dyDescent="0.3">
      <c r="A465" s="42">
        <v>1617</v>
      </c>
      <c r="B465" s="40" t="s">
        <v>533</v>
      </c>
    </row>
    <row r="466" spans="1:2" x14ac:dyDescent="0.3">
      <c r="A466" s="42">
        <v>1618</v>
      </c>
      <c r="B466" s="40" t="s">
        <v>534</v>
      </c>
    </row>
    <row r="467" spans="1:2" x14ac:dyDescent="0.3">
      <c r="A467" s="42">
        <v>1619</v>
      </c>
      <c r="B467" s="40" t="s">
        <v>535</v>
      </c>
    </row>
    <row r="468" spans="1:2" x14ac:dyDescent="0.3">
      <c r="A468" s="42">
        <v>1620</v>
      </c>
      <c r="B468" s="40" t="s">
        <v>536</v>
      </c>
    </row>
    <row r="469" spans="1:2" x14ac:dyDescent="0.3">
      <c r="A469" s="42">
        <v>1621</v>
      </c>
      <c r="B469" s="40" t="s">
        <v>537</v>
      </c>
    </row>
    <row r="470" spans="1:2" x14ac:dyDescent="0.3">
      <c r="A470" s="42">
        <v>1622</v>
      </c>
      <c r="B470" s="40" t="s">
        <v>538</v>
      </c>
    </row>
    <row r="471" spans="1:2" x14ac:dyDescent="0.3">
      <c r="A471" s="42">
        <v>1623</v>
      </c>
      <c r="B471" s="40" t="s">
        <v>539</v>
      </c>
    </row>
    <row r="472" spans="1:2" x14ac:dyDescent="0.3">
      <c r="A472" s="42">
        <v>1624</v>
      </c>
      <c r="B472" s="40" t="s">
        <v>540</v>
      </c>
    </row>
    <row r="473" spans="1:2" x14ac:dyDescent="0.3">
      <c r="A473" s="42">
        <v>1625</v>
      </c>
      <c r="B473" s="40" t="s">
        <v>541</v>
      </c>
    </row>
    <row r="474" spans="1:2" x14ac:dyDescent="0.3">
      <c r="A474" s="42">
        <v>1626</v>
      </c>
      <c r="B474" s="40" t="s">
        <v>542</v>
      </c>
    </row>
    <row r="475" spans="1:2" x14ac:dyDescent="0.3">
      <c r="A475" s="42">
        <v>1627</v>
      </c>
      <c r="B475" s="40" t="s">
        <v>543</v>
      </c>
    </row>
    <row r="476" spans="1:2" x14ac:dyDescent="0.3">
      <c r="A476" s="42">
        <v>1628</v>
      </c>
      <c r="B476" s="40" t="s">
        <v>544</v>
      </c>
    </row>
    <row r="477" spans="1:2" x14ac:dyDescent="0.3">
      <c r="A477" s="42">
        <v>1629</v>
      </c>
      <c r="B477" s="40" t="s">
        <v>545</v>
      </c>
    </row>
    <row r="478" spans="1:2" x14ac:dyDescent="0.3">
      <c r="A478" s="42">
        <v>1630</v>
      </c>
      <c r="B478" s="40" t="s">
        <v>546</v>
      </c>
    </row>
    <row r="479" spans="1:2" x14ac:dyDescent="0.3">
      <c r="A479" s="42">
        <v>1631</v>
      </c>
      <c r="B479" s="40" t="s">
        <v>547</v>
      </c>
    </row>
    <row r="480" spans="1:2" x14ac:dyDescent="0.3">
      <c r="A480" s="42">
        <v>1632</v>
      </c>
      <c r="B480" s="40" t="s">
        <v>548</v>
      </c>
    </row>
    <row r="481" spans="1:2" x14ac:dyDescent="0.3">
      <c r="A481" s="42">
        <v>1633</v>
      </c>
      <c r="B481" s="40" t="s">
        <v>549</v>
      </c>
    </row>
    <row r="482" spans="1:2" x14ac:dyDescent="0.3">
      <c r="A482" s="42">
        <v>1637</v>
      </c>
      <c r="B482" s="40" t="s">
        <v>1661</v>
      </c>
    </row>
    <row r="483" spans="1:2" x14ac:dyDescent="0.3">
      <c r="A483" s="42">
        <v>1638</v>
      </c>
      <c r="B483" s="40" t="s">
        <v>550</v>
      </c>
    </row>
    <row r="484" spans="1:2" x14ac:dyDescent="0.3">
      <c r="A484" s="42">
        <v>1639</v>
      </c>
      <c r="B484" s="40" t="s">
        <v>551</v>
      </c>
    </row>
    <row r="485" spans="1:2" x14ac:dyDescent="0.3">
      <c r="A485" s="42">
        <v>1640</v>
      </c>
      <c r="B485" s="40" t="s">
        <v>552</v>
      </c>
    </row>
    <row r="486" spans="1:2" x14ac:dyDescent="0.3">
      <c r="A486" s="42">
        <v>1641</v>
      </c>
      <c r="B486" s="40" t="s">
        <v>553</v>
      </c>
    </row>
    <row r="487" spans="1:2" x14ac:dyDescent="0.3">
      <c r="A487" s="42">
        <v>1643</v>
      </c>
      <c r="B487" s="40" t="s">
        <v>554</v>
      </c>
    </row>
    <row r="488" spans="1:2" x14ac:dyDescent="0.3">
      <c r="A488" s="42">
        <v>1645</v>
      </c>
      <c r="B488" s="40" t="s">
        <v>555</v>
      </c>
    </row>
    <row r="489" spans="1:2" x14ac:dyDescent="0.3">
      <c r="A489" s="42">
        <v>1646</v>
      </c>
      <c r="B489" s="40" t="s">
        <v>556</v>
      </c>
    </row>
    <row r="490" spans="1:2" x14ac:dyDescent="0.3">
      <c r="A490" s="42">
        <v>1647</v>
      </c>
      <c r="B490" s="40" t="s">
        <v>557</v>
      </c>
    </row>
    <row r="491" spans="1:2" x14ac:dyDescent="0.3">
      <c r="A491" s="42">
        <v>1648</v>
      </c>
      <c r="B491" s="40" t="s">
        <v>558</v>
      </c>
    </row>
    <row r="492" spans="1:2" x14ac:dyDescent="0.3">
      <c r="A492" s="42">
        <v>1649</v>
      </c>
      <c r="B492" s="40" t="s">
        <v>559</v>
      </c>
    </row>
    <row r="493" spans="1:2" x14ac:dyDescent="0.3">
      <c r="A493" s="42">
        <v>1650</v>
      </c>
      <c r="B493" s="40" t="s">
        <v>560</v>
      </c>
    </row>
    <row r="494" spans="1:2" x14ac:dyDescent="0.3">
      <c r="A494" s="42">
        <v>1651</v>
      </c>
      <c r="B494" s="40" t="s">
        <v>561</v>
      </c>
    </row>
    <row r="495" spans="1:2" x14ac:dyDescent="0.3">
      <c r="A495" s="42">
        <v>1652</v>
      </c>
      <c r="B495" s="40" t="s">
        <v>562</v>
      </c>
    </row>
    <row r="496" spans="1:2" x14ac:dyDescent="0.3">
      <c r="A496" s="42">
        <v>1653</v>
      </c>
      <c r="B496" s="40" t="s">
        <v>563</v>
      </c>
    </row>
    <row r="497" spans="1:2" x14ac:dyDescent="0.3">
      <c r="A497" s="42">
        <v>1654</v>
      </c>
      <c r="B497" s="40" t="s">
        <v>564</v>
      </c>
    </row>
    <row r="498" spans="1:2" x14ac:dyDescent="0.3">
      <c r="A498" s="42">
        <v>1657</v>
      </c>
      <c r="B498" s="40" t="s">
        <v>565</v>
      </c>
    </row>
    <row r="499" spans="1:2" x14ac:dyDescent="0.3">
      <c r="A499" s="42">
        <v>1658</v>
      </c>
      <c r="B499" s="40" t="s">
        <v>566</v>
      </c>
    </row>
    <row r="500" spans="1:2" x14ac:dyDescent="0.3">
      <c r="A500" s="42">
        <v>1659</v>
      </c>
      <c r="B500" s="40" t="s">
        <v>567</v>
      </c>
    </row>
    <row r="501" spans="1:2" x14ac:dyDescent="0.3">
      <c r="A501" s="42">
        <v>1660</v>
      </c>
      <c r="B501" s="40" t="s">
        <v>568</v>
      </c>
    </row>
    <row r="502" spans="1:2" x14ac:dyDescent="0.3">
      <c r="A502" s="42">
        <v>1661</v>
      </c>
      <c r="B502" s="40" t="s">
        <v>569</v>
      </c>
    </row>
    <row r="503" spans="1:2" x14ac:dyDescent="0.3">
      <c r="A503" s="42">
        <v>1662</v>
      </c>
      <c r="B503" s="40" t="s">
        <v>570</v>
      </c>
    </row>
    <row r="504" spans="1:2" x14ac:dyDescent="0.3">
      <c r="A504" s="42">
        <v>1663</v>
      </c>
      <c r="B504" s="40" t="s">
        <v>571</v>
      </c>
    </row>
    <row r="505" spans="1:2" x14ac:dyDescent="0.3">
      <c r="A505" s="42">
        <v>1664</v>
      </c>
      <c r="B505" s="40" t="s">
        <v>572</v>
      </c>
    </row>
    <row r="506" spans="1:2" x14ac:dyDescent="0.3">
      <c r="A506" s="42">
        <v>1665</v>
      </c>
      <c r="B506" s="40" t="s">
        <v>573</v>
      </c>
    </row>
    <row r="507" spans="1:2" x14ac:dyDescent="0.3">
      <c r="A507" s="42">
        <v>1666</v>
      </c>
      <c r="B507" s="40" t="s">
        <v>574</v>
      </c>
    </row>
    <row r="508" spans="1:2" x14ac:dyDescent="0.3">
      <c r="A508" s="42">
        <v>1667</v>
      </c>
      <c r="B508" s="40" t="s">
        <v>575</v>
      </c>
    </row>
    <row r="509" spans="1:2" x14ac:dyDescent="0.3">
      <c r="A509" s="42">
        <v>1668</v>
      </c>
      <c r="B509" s="40" t="s">
        <v>576</v>
      </c>
    </row>
    <row r="510" spans="1:2" x14ac:dyDescent="0.3">
      <c r="A510" s="42">
        <v>1669</v>
      </c>
      <c r="B510" s="40" t="s">
        <v>577</v>
      </c>
    </row>
    <row r="511" spans="1:2" x14ac:dyDescent="0.3">
      <c r="A511" s="42">
        <v>1670</v>
      </c>
      <c r="B511" s="40" t="s">
        <v>578</v>
      </c>
    </row>
    <row r="512" spans="1:2" x14ac:dyDescent="0.3">
      <c r="A512" s="42">
        <v>1671</v>
      </c>
      <c r="B512" s="40" t="s">
        <v>579</v>
      </c>
    </row>
    <row r="513" spans="1:2" x14ac:dyDescent="0.3">
      <c r="A513" s="42">
        <v>1672</v>
      </c>
      <c r="B513" s="40" t="s">
        <v>580</v>
      </c>
    </row>
    <row r="514" spans="1:2" x14ac:dyDescent="0.3">
      <c r="A514" s="42">
        <v>1673</v>
      </c>
      <c r="B514" s="40" t="s">
        <v>581</v>
      </c>
    </row>
    <row r="515" spans="1:2" x14ac:dyDescent="0.3">
      <c r="A515" s="42">
        <v>1674</v>
      </c>
      <c r="B515" s="40" t="s">
        <v>582</v>
      </c>
    </row>
    <row r="516" spans="1:2" x14ac:dyDescent="0.3">
      <c r="A516" s="42">
        <v>1675</v>
      </c>
      <c r="B516" s="40" t="s">
        <v>583</v>
      </c>
    </row>
    <row r="517" spans="1:2" x14ac:dyDescent="0.3">
      <c r="A517" s="42">
        <v>1676</v>
      </c>
      <c r="B517" s="40" t="s">
        <v>584</v>
      </c>
    </row>
    <row r="518" spans="1:2" x14ac:dyDescent="0.3">
      <c r="A518" s="42">
        <v>1677</v>
      </c>
      <c r="B518" s="40" t="s">
        <v>585</v>
      </c>
    </row>
    <row r="519" spans="1:2" x14ac:dyDescent="0.3">
      <c r="A519" s="42">
        <v>1683</v>
      </c>
      <c r="B519" s="40" t="s">
        <v>586</v>
      </c>
    </row>
    <row r="520" spans="1:2" x14ac:dyDescent="0.3">
      <c r="A520" s="42">
        <v>1684</v>
      </c>
      <c r="B520" s="40" t="s">
        <v>587</v>
      </c>
    </row>
    <row r="521" spans="1:2" x14ac:dyDescent="0.3">
      <c r="A521" s="42">
        <v>1685</v>
      </c>
      <c r="B521" s="40" t="s">
        <v>588</v>
      </c>
    </row>
    <row r="522" spans="1:2" x14ac:dyDescent="0.3">
      <c r="A522" s="42">
        <v>1686</v>
      </c>
      <c r="B522" s="40" t="s">
        <v>589</v>
      </c>
    </row>
    <row r="523" spans="1:2" x14ac:dyDescent="0.3">
      <c r="A523" s="42">
        <v>1687</v>
      </c>
      <c r="B523" s="40" t="s">
        <v>590</v>
      </c>
    </row>
    <row r="524" spans="1:2" x14ac:dyDescent="0.3">
      <c r="A524" s="42">
        <v>1688</v>
      </c>
      <c r="B524" s="40" t="s">
        <v>591</v>
      </c>
    </row>
    <row r="525" spans="1:2" x14ac:dyDescent="0.3">
      <c r="A525" s="42">
        <v>1689</v>
      </c>
      <c r="B525" s="40" t="s">
        <v>1384</v>
      </c>
    </row>
    <row r="526" spans="1:2" x14ac:dyDescent="0.3">
      <c r="A526" s="42">
        <v>1690</v>
      </c>
      <c r="B526" s="40" t="s">
        <v>592</v>
      </c>
    </row>
    <row r="527" spans="1:2" x14ac:dyDescent="0.3">
      <c r="A527" s="42">
        <v>1691</v>
      </c>
      <c r="B527" s="40" t="s">
        <v>593</v>
      </c>
    </row>
    <row r="528" spans="1:2" x14ac:dyDescent="0.3">
      <c r="A528" s="42">
        <v>1692</v>
      </c>
      <c r="B528" s="40" t="s">
        <v>594</v>
      </c>
    </row>
    <row r="529" spans="1:2" x14ac:dyDescent="0.3">
      <c r="A529" s="42">
        <v>1693</v>
      </c>
      <c r="B529" s="40" t="s">
        <v>595</v>
      </c>
    </row>
    <row r="530" spans="1:2" x14ac:dyDescent="0.3">
      <c r="A530" s="42">
        <v>1694</v>
      </c>
      <c r="B530" s="40" t="s">
        <v>596</v>
      </c>
    </row>
    <row r="531" spans="1:2" x14ac:dyDescent="0.3">
      <c r="A531" s="42">
        <v>1695</v>
      </c>
      <c r="B531" s="40" t="s">
        <v>597</v>
      </c>
    </row>
    <row r="532" spans="1:2" x14ac:dyDescent="0.3">
      <c r="A532" s="42">
        <v>1696</v>
      </c>
      <c r="B532" s="40" t="s">
        <v>598</v>
      </c>
    </row>
    <row r="533" spans="1:2" x14ac:dyDescent="0.3">
      <c r="A533" s="42">
        <v>1697</v>
      </c>
      <c r="B533" s="40" t="s">
        <v>599</v>
      </c>
    </row>
    <row r="534" spans="1:2" x14ac:dyDescent="0.3">
      <c r="A534" s="42">
        <v>1698</v>
      </c>
      <c r="B534" s="40" t="s">
        <v>600</v>
      </c>
    </row>
    <row r="535" spans="1:2" x14ac:dyDescent="0.3">
      <c r="A535" s="42">
        <v>1699</v>
      </c>
      <c r="B535" s="40" t="s">
        <v>601</v>
      </c>
    </row>
    <row r="536" spans="1:2" x14ac:dyDescent="0.3">
      <c r="A536" s="42">
        <v>1700</v>
      </c>
      <c r="B536" s="40" t="s">
        <v>602</v>
      </c>
    </row>
    <row r="537" spans="1:2" x14ac:dyDescent="0.3">
      <c r="A537" s="42">
        <v>1701</v>
      </c>
      <c r="B537" s="40" t="s">
        <v>603</v>
      </c>
    </row>
    <row r="538" spans="1:2" x14ac:dyDescent="0.3">
      <c r="A538" s="42">
        <v>1702</v>
      </c>
      <c r="B538" s="40" t="s">
        <v>604</v>
      </c>
    </row>
    <row r="539" spans="1:2" x14ac:dyDescent="0.3">
      <c r="A539" s="42">
        <v>1703</v>
      </c>
      <c r="B539" s="40" t="s">
        <v>605</v>
      </c>
    </row>
    <row r="540" spans="1:2" x14ac:dyDescent="0.3">
      <c r="A540" s="42">
        <v>1704</v>
      </c>
      <c r="B540" s="40" t="s">
        <v>606</v>
      </c>
    </row>
    <row r="541" spans="1:2" x14ac:dyDescent="0.3">
      <c r="A541" s="42">
        <v>1705</v>
      </c>
      <c r="B541" s="40" t="s">
        <v>607</v>
      </c>
    </row>
    <row r="542" spans="1:2" x14ac:dyDescent="0.3">
      <c r="A542" s="42">
        <v>1706</v>
      </c>
      <c r="B542" s="40" t="s">
        <v>608</v>
      </c>
    </row>
    <row r="543" spans="1:2" x14ac:dyDescent="0.3">
      <c r="A543" s="42">
        <v>1707</v>
      </c>
      <c r="B543" s="40" t="s">
        <v>609</v>
      </c>
    </row>
    <row r="544" spans="1:2" x14ac:dyDescent="0.3">
      <c r="A544" s="42">
        <v>1708</v>
      </c>
      <c r="B544" s="40" t="s">
        <v>610</v>
      </c>
    </row>
    <row r="545" spans="1:2" x14ac:dyDescent="0.3">
      <c r="A545" s="42">
        <v>1709</v>
      </c>
      <c r="B545" s="40" t="s">
        <v>611</v>
      </c>
    </row>
    <row r="546" spans="1:2" x14ac:dyDescent="0.3">
      <c r="A546" s="42">
        <v>1710</v>
      </c>
      <c r="B546" s="40" t="s">
        <v>612</v>
      </c>
    </row>
    <row r="547" spans="1:2" x14ac:dyDescent="0.3">
      <c r="A547" s="42">
        <v>1711</v>
      </c>
      <c r="B547" s="40" t="s">
        <v>613</v>
      </c>
    </row>
    <row r="548" spans="1:2" x14ac:dyDescent="0.3">
      <c r="A548" s="42">
        <v>1712</v>
      </c>
      <c r="B548" s="40" t="s">
        <v>614</v>
      </c>
    </row>
    <row r="549" spans="1:2" x14ac:dyDescent="0.3">
      <c r="A549" s="42">
        <v>1713</v>
      </c>
      <c r="B549" s="40" t="s">
        <v>615</v>
      </c>
    </row>
    <row r="550" spans="1:2" x14ac:dyDescent="0.3">
      <c r="A550" s="42">
        <v>1714</v>
      </c>
      <c r="B550" s="40" t="s">
        <v>616</v>
      </c>
    </row>
    <row r="551" spans="1:2" x14ac:dyDescent="0.3">
      <c r="A551" s="42">
        <v>1715</v>
      </c>
      <c r="B551" s="40" t="s">
        <v>617</v>
      </c>
    </row>
    <row r="552" spans="1:2" x14ac:dyDescent="0.3">
      <c r="A552" s="42">
        <v>1716</v>
      </c>
      <c r="B552" s="40" t="s">
        <v>618</v>
      </c>
    </row>
    <row r="553" spans="1:2" x14ac:dyDescent="0.3">
      <c r="A553" s="42">
        <v>1717</v>
      </c>
      <c r="B553" s="40" t="s">
        <v>619</v>
      </c>
    </row>
    <row r="554" spans="1:2" x14ac:dyDescent="0.3">
      <c r="A554" s="42">
        <v>1718</v>
      </c>
      <c r="B554" s="40" t="s">
        <v>620</v>
      </c>
    </row>
    <row r="555" spans="1:2" x14ac:dyDescent="0.3">
      <c r="A555" s="42">
        <v>1719</v>
      </c>
      <c r="B555" s="40" t="s">
        <v>621</v>
      </c>
    </row>
    <row r="556" spans="1:2" x14ac:dyDescent="0.3">
      <c r="A556" s="42">
        <v>1720</v>
      </c>
      <c r="B556" s="40" t="s">
        <v>622</v>
      </c>
    </row>
    <row r="557" spans="1:2" x14ac:dyDescent="0.3">
      <c r="A557" s="42">
        <v>1721</v>
      </c>
      <c r="B557" s="40" t="s">
        <v>623</v>
      </c>
    </row>
    <row r="558" spans="1:2" x14ac:dyDescent="0.3">
      <c r="A558" s="42">
        <v>1722</v>
      </c>
      <c r="B558" s="40" t="s">
        <v>624</v>
      </c>
    </row>
    <row r="559" spans="1:2" x14ac:dyDescent="0.3">
      <c r="A559" s="42">
        <v>1723</v>
      </c>
      <c r="B559" s="40" t="s">
        <v>625</v>
      </c>
    </row>
    <row r="560" spans="1:2" x14ac:dyDescent="0.3">
      <c r="A560" s="42">
        <v>1724</v>
      </c>
      <c r="B560" s="40" t="s">
        <v>626</v>
      </c>
    </row>
    <row r="561" spans="1:2" x14ac:dyDescent="0.3">
      <c r="A561" s="42">
        <v>1725</v>
      </c>
      <c r="B561" s="40" t="s">
        <v>627</v>
      </c>
    </row>
    <row r="562" spans="1:2" x14ac:dyDescent="0.3">
      <c r="A562" s="42">
        <v>1726</v>
      </c>
      <c r="B562" s="40" t="s">
        <v>628</v>
      </c>
    </row>
    <row r="563" spans="1:2" x14ac:dyDescent="0.3">
      <c r="A563" s="42">
        <v>1727</v>
      </c>
      <c r="B563" s="40" t="s">
        <v>629</v>
      </c>
    </row>
    <row r="564" spans="1:2" x14ac:dyDescent="0.3">
      <c r="A564" s="42">
        <v>1728</v>
      </c>
      <c r="B564" s="40" t="s">
        <v>630</v>
      </c>
    </row>
    <row r="565" spans="1:2" x14ac:dyDescent="0.3">
      <c r="A565" s="42">
        <v>1729</v>
      </c>
      <c r="B565" s="40" t="s">
        <v>631</v>
      </c>
    </row>
    <row r="566" spans="1:2" x14ac:dyDescent="0.3">
      <c r="A566" s="42">
        <v>1731</v>
      </c>
      <c r="B566" s="40" t="s">
        <v>632</v>
      </c>
    </row>
    <row r="567" spans="1:2" x14ac:dyDescent="0.3">
      <c r="A567" s="42">
        <v>1732</v>
      </c>
      <c r="B567" s="40" t="s">
        <v>633</v>
      </c>
    </row>
    <row r="568" spans="1:2" x14ac:dyDescent="0.3">
      <c r="A568" s="42">
        <v>1733</v>
      </c>
      <c r="B568" s="40" t="s">
        <v>634</v>
      </c>
    </row>
    <row r="569" spans="1:2" x14ac:dyDescent="0.3">
      <c r="A569" s="42">
        <v>1734</v>
      </c>
      <c r="B569" s="40" t="s">
        <v>635</v>
      </c>
    </row>
    <row r="570" spans="1:2" x14ac:dyDescent="0.3">
      <c r="A570" s="42">
        <v>1735</v>
      </c>
      <c r="B570" s="40" t="s">
        <v>636</v>
      </c>
    </row>
    <row r="571" spans="1:2" x14ac:dyDescent="0.3">
      <c r="A571" s="42">
        <v>1736</v>
      </c>
      <c r="B571" s="40" t="s">
        <v>637</v>
      </c>
    </row>
    <row r="572" spans="1:2" x14ac:dyDescent="0.3">
      <c r="A572" s="42">
        <v>1737</v>
      </c>
      <c r="B572" s="40" t="s">
        <v>638</v>
      </c>
    </row>
    <row r="573" spans="1:2" x14ac:dyDescent="0.3">
      <c r="A573" s="42">
        <v>1738</v>
      </c>
      <c r="B573" s="40" t="s">
        <v>639</v>
      </c>
    </row>
    <row r="574" spans="1:2" x14ac:dyDescent="0.3">
      <c r="A574" s="42">
        <v>1739</v>
      </c>
      <c r="B574" s="40" t="s">
        <v>640</v>
      </c>
    </row>
    <row r="575" spans="1:2" x14ac:dyDescent="0.3">
      <c r="A575" s="42">
        <v>1740</v>
      </c>
      <c r="B575" s="40" t="s">
        <v>641</v>
      </c>
    </row>
    <row r="576" spans="1:2" x14ac:dyDescent="0.3">
      <c r="A576" s="42">
        <v>1741</v>
      </c>
      <c r="B576" s="40" t="s">
        <v>642</v>
      </c>
    </row>
    <row r="577" spans="1:2" x14ac:dyDescent="0.3">
      <c r="A577" s="42">
        <v>1742</v>
      </c>
      <c r="B577" s="40" t="s">
        <v>643</v>
      </c>
    </row>
    <row r="578" spans="1:2" x14ac:dyDescent="0.3">
      <c r="A578" s="42">
        <v>1743</v>
      </c>
      <c r="B578" s="40" t="s">
        <v>644</v>
      </c>
    </row>
    <row r="579" spans="1:2" x14ac:dyDescent="0.3">
      <c r="A579" s="42">
        <v>1744</v>
      </c>
      <c r="B579" s="40" t="s">
        <v>645</v>
      </c>
    </row>
    <row r="580" spans="1:2" x14ac:dyDescent="0.3">
      <c r="A580" s="42">
        <v>1745</v>
      </c>
      <c r="B580" s="40" t="s">
        <v>646</v>
      </c>
    </row>
    <row r="581" spans="1:2" x14ac:dyDescent="0.3">
      <c r="A581" s="42">
        <v>1746</v>
      </c>
      <c r="B581" s="40" t="s">
        <v>647</v>
      </c>
    </row>
    <row r="582" spans="1:2" x14ac:dyDescent="0.3">
      <c r="A582" s="42">
        <v>1747</v>
      </c>
      <c r="B582" s="40" t="s">
        <v>648</v>
      </c>
    </row>
    <row r="583" spans="1:2" x14ac:dyDescent="0.3">
      <c r="A583" s="42">
        <v>1755</v>
      </c>
      <c r="B583" s="40" t="s">
        <v>649</v>
      </c>
    </row>
    <row r="584" spans="1:2" x14ac:dyDescent="0.3">
      <c r="A584" s="42">
        <v>1757</v>
      </c>
      <c r="B584" s="40" t="s">
        <v>650</v>
      </c>
    </row>
    <row r="585" spans="1:2" x14ac:dyDescent="0.3">
      <c r="A585" s="42">
        <v>1758</v>
      </c>
      <c r="B585" s="40" t="s">
        <v>651</v>
      </c>
    </row>
    <row r="586" spans="1:2" x14ac:dyDescent="0.3">
      <c r="A586" s="42">
        <v>1759</v>
      </c>
      <c r="B586" s="40" t="s">
        <v>652</v>
      </c>
    </row>
    <row r="587" spans="1:2" x14ac:dyDescent="0.3">
      <c r="A587" s="42">
        <v>1760</v>
      </c>
      <c r="B587" s="40" t="s">
        <v>653</v>
      </c>
    </row>
    <row r="588" spans="1:2" x14ac:dyDescent="0.3">
      <c r="A588" s="42">
        <v>1761</v>
      </c>
      <c r="B588" s="40" t="s">
        <v>654</v>
      </c>
    </row>
    <row r="589" spans="1:2" x14ac:dyDescent="0.3">
      <c r="A589" s="42">
        <v>1762</v>
      </c>
      <c r="B589" s="40" t="s">
        <v>655</v>
      </c>
    </row>
    <row r="590" spans="1:2" x14ac:dyDescent="0.3">
      <c r="A590" s="42">
        <v>1764</v>
      </c>
      <c r="B590" s="40" t="s">
        <v>656</v>
      </c>
    </row>
    <row r="591" spans="1:2" x14ac:dyDescent="0.3">
      <c r="A591" s="42">
        <v>1765</v>
      </c>
      <c r="B591" s="40" t="s">
        <v>657</v>
      </c>
    </row>
    <row r="592" spans="1:2" x14ac:dyDescent="0.3">
      <c r="A592" s="42">
        <v>1766</v>
      </c>
      <c r="B592" s="40" t="s">
        <v>658</v>
      </c>
    </row>
    <row r="593" spans="1:2" x14ac:dyDescent="0.3">
      <c r="A593" s="42">
        <v>1768</v>
      </c>
      <c r="B593" s="40" t="s">
        <v>659</v>
      </c>
    </row>
    <row r="594" spans="1:2" x14ac:dyDescent="0.3">
      <c r="A594" s="42">
        <v>1769</v>
      </c>
      <c r="B594" s="40" t="s">
        <v>660</v>
      </c>
    </row>
    <row r="595" spans="1:2" x14ac:dyDescent="0.3">
      <c r="A595" s="42">
        <v>1772</v>
      </c>
      <c r="B595" s="40" t="s">
        <v>661</v>
      </c>
    </row>
    <row r="596" spans="1:2" x14ac:dyDescent="0.3">
      <c r="A596" s="42">
        <v>1773</v>
      </c>
      <c r="B596" s="40" t="s">
        <v>662</v>
      </c>
    </row>
    <row r="597" spans="1:2" x14ac:dyDescent="0.3">
      <c r="A597" s="42">
        <v>1774</v>
      </c>
      <c r="B597" s="40" t="s">
        <v>663</v>
      </c>
    </row>
    <row r="598" spans="1:2" x14ac:dyDescent="0.3">
      <c r="A598" s="42">
        <v>1777</v>
      </c>
      <c r="B598" s="40" t="s">
        <v>664</v>
      </c>
    </row>
    <row r="599" spans="1:2" x14ac:dyDescent="0.3">
      <c r="A599" s="42">
        <v>1778</v>
      </c>
      <c r="B599" s="40" t="s">
        <v>665</v>
      </c>
    </row>
    <row r="600" spans="1:2" x14ac:dyDescent="0.3">
      <c r="A600" s="42">
        <v>1779</v>
      </c>
      <c r="B600" s="40" t="s">
        <v>666</v>
      </c>
    </row>
    <row r="601" spans="1:2" x14ac:dyDescent="0.3">
      <c r="A601" s="42">
        <v>1780</v>
      </c>
      <c r="B601" s="40" t="s">
        <v>667</v>
      </c>
    </row>
    <row r="602" spans="1:2" x14ac:dyDescent="0.3">
      <c r="A602" s="42">
        <v>1781</v>
      </c>
      <c r="B602" s="40" t="s">
        <v>668</v>
      </c>
    </row>
    <row r="603" spans="1:2" x14ac:dyDescent="0.3">
      <c r="A603" s="42">
        <v>1782</v>
      </c>
      <c r="B603" s="40" t="s">
        <v>669</v>
      </c>
    </row>
    <row r="604" spans="1:2" x14ac:dyDescent="0.3">
      <c r="A604" s="42">
        <v>1783</v>
      </c>
      <c r="B604" s="40" t="s">
        <v>670</v>
      </c>
    </row>
    <row r="605" spans="1:2" x14ac:dyDescent="0.3">
      <c r="A605" s="42">
        <v>1784</v>
      </c>
      <c r="B605" s="40" t="s">
        <v>671</v>
      </c>
    </row>
    <row r="606" spans="1:2" x14ac:dyDescent="0.3">
      <c r="A606" s="42">
        <v>1786</v>
      </c>
      <c r="B606" s="40" t="s">
        <v>672</v>
      </c>
    </row>
    <row r="607" spans="1:2" x14ac:dyDescent="0.3">
      <c r="A607" s="42">
        <v>1787</v>
      </c>
      <c r="B607" s="40" t="s">
        <v>673</v>
      </c>
    </row>
    <row r="608" spans="1:2" x14ac:dyDescent="0.3">
      <c r="A608" s="42">
        <v>1788</v>
      </c>
      <c r="B608" s="40" t="s">
        <v>674</v>
      </c>
    </row>
    <row r="609" spans="1:2" x14ac:dyDescent="0.3">
      <c r="A609" s="42">
        <v>1789</v>
      </c>
      <c r="B609" s="40" t="s">
        <v>675</v>
      </c>
    </row>
    <row r="610" spans="1:2" x14ac:dyDescent="0.3">
      <c r="A610" s="42">
        <v>1790</v>
      </c>
      <c r="B610" s="40" t="s">
        <v>676</v>
      </c>
    </row>
    <row r="611" spans="1:2" x14ac:dyDescent="0.3">
      <c r="A611" s="42">
        <v>1791</v>
      </c>
      <c r="B611" s="40" t="s">
        <v>677</v>
      </c>
    </row>
    <row r="612" spans="1:2" x14ac:dyDescent="0.3">
      <c r="A612" s="42">
        <v>1792</v>
      </c>
      <c r="B612" s="40" t="s">
        <v>678</v>
      </c>
    </row>
    <row r="613" spans="1:2" x14ac:dyDescent="0.3">
      <c r="A613" s="42">
        <v>1793</v>
      </c>
      <c r="B613" s="40" t="s">
        <v>679</v>
      </c>
    </row>
    <row r="614" spans="1:2" x14ac:dyDescent="0.3">
      <c r="A614" s="42">
        <v>1794</v>
      </c>
      <c r="B614" s="40" t="s">
        <v>680</v>
      </c>
    </row>
    <row r="615" spans="1:2" x14ac:dyDescent="0.3">
      <c r="A615" s="42">
        <v>1795</v>
      </c>
      <c r="B615" s="40" t="s">
        <v>681</v>
      </c>
    </row>
    <row r="616" spans="1:2" x14ac:dyDescent="0.3">
      <c r="A616" s="42">
        <v>1796</v>
      </c>
      <c r="B616" s="40" t="s">
        <v>682</v>
      </c>
    </row>
    <row r="617" spans="1:2" x14ac:dyDescent="0.3">
      <c r="A617" s="42">
        <v>1797</v>
      </c>
      <c r="B617" s="40" t="s">
        <v>683</v>
      </c>
    </row>
    <row r="618" spans="1:2" x14ac:dyDescent="0.3">
      <c r="A618" s="42">
        <v>1798</v>
      </c>
      <c r="B618" s="40" t="s">
        <v>684</v>
      </c>
    </row>
    <row r="619" spans="1:2" x14ac:dyDescent="0.3">
      <c r="A619" s="42">
        <v>1799</v>
      </c>
      <c r="B619" s="40" t="s">
        <v>685</v>
      </c>
    </row>
    <row r="620" spans="1:2" x14ac:dyDescent="0.3">
      <c r="A620" s="42">
        <v>1800</v>
      </c>
      <c r="B620" s="40" t="s">
        <v>686</v>
      </c>
    </row>
    <row r="621" spans="1:2" x14ac:dyDescent="0.3">
      <c r="A621" s="42">
        <v>1801</v>
      </c>
      <c r="B621" s="40" t="s">
        <v>1425</v>
      </c>
    </row>
    <row r="622" spans="1:2" x14ac:dyDescent="0.3">
      <c r="A622" s="42">
        <v>1802</v>
      </c>
      <c r="B622" s="40" t="s">
        <v>687</v>
      </c>
    </row>
    <row r="623" spans="1:2" x14ac:dyDescent="0.3">
      <c r="A623" s="42">
        <v>1803</v>
      </c>
      <c r="B623" s="40" t="s">
        <v>688</v>
      </c>
    </row>
    <row r="624" spans="1:2" x14ac:dyDescent="0.3">
      <c r="A624" s="42">
        <v>1804</v>
      </c>
      <c r="B624" s="40" t="s">
        <v>689</v>
      </c>
    </row>
    <row r="625" spans="1:2" x14ac:dyDescent="0.3">
      <c r="A625" s="42">
        <v>2001</v>
      </c>
      <c r="B625" s="40" t="s">
        <v>690</v>
      </c>
    </row>
    <row r="626" spans="1:2" x14ac:dyDescent="0.3">
      <c r="A626" s="42">
        <v>2002</v>
      </c>
      <c r="B626" s="40" t="s">
        <v>1429</v>
      </c>
    </row>
    <row r="627" spans="1:2" x14ac:dyDescent="0.3">
      <c r="A627" s="42">
        <v>2003</v>
      </c>
      <c r="B627" s="40" t="s">
        <v>691</v>
      </c>
    </row>
    <row r="628" spans="1:2" x14ac:dyDescent="0.3">
      <c r="A628" s="42">
        <v>2004</v>
      </c>
      <c r="B628" s="40" t="s">
        <v>692</v>
      </c>
    </row>
    <row r="629" spans="1:2" x14ac:dyDescent="0.3">
      <c r="A629" s="42">
        <v>2006</v>
      </c>
      <c r="B629" s="40" t="s">
        <v>693</v>
      </c>
    </row>
    <row r="630" spans="1:2" x14ac:dyDescent="0.3">
      <c r="A630" s="42">
        <v>2008</v>
      </c>
      <c r="B630" s="40" t="s">
        <v>694</v>
      </c>
    </row>
    <row r="631" spans="1:2" x14ac:dyDescent="0.3">
      <c r="A631" s="42">
        <v>2009</v>
      </c>
      <c r="B631" s="40" t="s">
        <v>695</v>
      </c>
    </row>
    <row r="632" spans="1:2" x14ac:dyDescent="0.3">
      <c r="A632" s="42">
        <v>2010</v>
      </c>
      <c r="B632" s="40" t="s">
        <v>696</v>
      </c>
    </row>
    <row r="633" spans="1:2" x14ac:dyDescent="0.3">
      <c r="A633" s="42">
        <v>2012</v>
      </c>
      <c r="B633" s="40" t="s">
        <v>697</v>
      </c>
    </row>
    <row r="634" spans="1:2" x14ac:dyDescent="0.3">
      <c r="A634" s="42">
        <v>2018</v>
      </c>
      <c r="B634" s="40" t="s">
        <v>698</v>
      </c>
    </row>
    <row r="635" spans="1:2" x14ac:dyDescent="0.3">
      <c r="A635" s="42">
        <v>2019</v>
      </c>
      <c r="B635" s="40" t="s">
        <v>699</v>
      </c>
    </row>
    <row r="636" spans="1:2" x14ac:dyDescent="0.3">
      <c r="A636" s="42">
        <v>2020</v>
      </c>
      <c r="B636" s="40" t="s">
        <v>700</v>
      </c>
    </row>
    <row r="637" spans="1:2" x14ac:dyDescent="0.3">
      <c r="A637" s="42">
        <v>2021</v>
      </c>
      <c r="B637" s="40" t="s">
        <v>701</v>
      </c>
    </row>
    <row r="638" spans="1:2" x14ac:dyDescent="0.3">
      <c r="A638" s="42">
        <v>2022</v>
      </c>
      <c r="B638" s="40" t="s">
        <v>702</v>
      </c>
    </row>
    <row r="639" spans="1:2" x14ac:dyDescent="0.3">
      <c r="A639" s="42">
        <v>2023</v>
      </c>
      <c r="B639" s="40" t="s">
        <v>703</v>
      </c>
    </row>
    <row r="640" spans="1:2" x14ac:dyDescent="0.3">
      <c r="A640" s="42">
        <v>2024</v>
      </c>
      <c r="B640" s="40" t="s">
        <v>704</v>
      </c>
    </row>
    <row r="641" spans="1:2" x14ac:dyDescent="0.3">
      <c r="A641" s="42">
        <v>2025</v>
      </c>
      <c r="B641" s="40" t="s">
        <v>705</v>
      </c>
    </row>
    <row r="642" spans="1:2" x14ac:dyDescent="0.3">
      <c r="A642" s="42">
        <v>2026</v>
      </c>
      <c r="B642" s="40" t="s">
        <v>706</v>
      </c>
    </row>
    <row r="643" spans="1:2" x14ac:dyDescent="0.3">
      <c r="A643" s="42">
        <v>2027</v>
      </c>
      <c r="B643" s="40" t="s">
        <v>707</v>
      </c>
    </row>
    <row r="644" spans="1:2" x14ac:dyDescent="0.3">
      <c r="A644" s="42">
        <v>2028</v>
      </c>
      <c r="B644" s="40" t="s">
        <v>708</v>
      </c>
    </row>
    <row r="645" spans="1:2" x14ac:dyDescent="0.3">
      <c r="A645" s="42">
        <v>2029</v>
      </c>
      <c r="B645" s="40" t="s">
        <v>709</v>
      </c>
    </row>
    <row r="646" spans="1:2" x14ac:dyDescent="0.3">
      <c r="A646" s="42">
        <v>2030</v>
      </c>
      <c r="B646" s="40" t="s">
        <v>710</v>
      </c>
    </row>
    <row r="647" spans="1:2" x14ac:dyDescent="0.3">
      <c r="A647" s="42">
        <v>2031</v>
      </c>
      <c r="B647" s="40" t="s">
        <v>711</v>
      </c>
    </row>
    <row r="648" spans="1:2" x14ac:dyDescent="0.3">
      <c r="A648" s="42">
        <v>2033</v>
      </c>
      <c r="B648" s="40" t="s">
        <v>712</v>
      </c>
    </row>
    <row r="649" spans="1:2" x14ac:dyDescent="0.3">
      <c r="A649" s="42">
        <v>2034</v>
      </c>
      <c r="B649" s="40" t="s">
        <v>713</v>
      </c>
    </row>
    <row r="650" spans="1:2" x14ac:dyDescent="0.3">
      <c r="A650" s="42">
        <v>2035</v>
      </c>
      <c r="B650" s="40" t="s">
        <v>714</v>
      </c>
    </row>
    <row r="651" spans="1:2" x14ac:dyDescent="0.3">
      <c r="A651" s="42">
        <v>2036</v>
      </c>
      <c r="B651" s="40" t="s">
        <v>715</v>
      </c>
    </row>
    <row r="652" spans="1:2" x14ac:dyDescent="0.3">
      <c r="A652" s="42">
        <v>2037</v>
      </c>
      <c r="B652" s="40" t="s">
        <v>716</v>
      </c>
    </row>
    <row r="653" spans="1:2" x14ac:dyDescent="0.3">
      <c r="A653" s="42">
        <v>2038</v>
      </c>
      <c r="B653" s="40" t="s">
        <v>717</v>
      </c>
    </row>
    <row r="654" spans="1:2" x14ac:dyDescent="0.3">
      <c r="A654" s="42">
        <v>2039</v>
      </c>
      <c r="B654" s="40" t="s">
        <v>718</v>
      </c>
    </row>
    <row r="655" spans="1:2" x14ac:dyDescent="0.3">
      <c r="A655" s="42">
        <v>2040</v>
      </c>
      <c r="B655" s="40" t="s">
        <v>719</v>
      </c>
    </row>
    <row r="656" spans="1:2" x14ac:dyDescent="0.3">
      <c r="A656" s="42">
        <v>2041</v>
      </c>
      <c r="B656" s="40" t="s">
        <v>720</v>
      </c>
    </row>
    <row r="657" spans="1:2" x14ac:dyDescent="0.3">
      <c r="A657" s="42">
        <v>2042</v>
      </c>
      <c r="B657" s="40" t="s">
        <v>721</v>
      </c>
    </row>
    <row r="658" spans="1:2" x14ac:dyDescent="0.3">
      <c r="A658" s="42">
        <v>2043</v>
      </c>
      <c r="B658" s="40" t="s">
        <v>722</v>
      </c>
    </row>
    <row r="659" spans="1:2" x14ac:dyDescent="0.3">
      <c r="A659" s="42">
        <v>2044</v>
      </c>
      <c r="B659" s="40" t="s">
        <v>723</v>
      </c>
    </row>
    <row r="660" spans="1:2" x14ac:dyDescent="0.3">
      <c r="A660" s="42">
        <v>2045</v>
      </c>
      <c r="B660" s="40" t="s">
        <v>724</v>
      </c>
    </row>
    <row r="661" spans="1:2" x14ac:dyDescent="0.3">
      <c r="A661" s="42">
        <v>2046</v>
      </c>
      <c r="B661" s="40" t="s">
        <v>725</v>
      </c>
    </row>
    <row r="662" spans="1:2" x14ac:dyDescent="0.3">
      <c r="A662" s="42">
        <v>2047</v>
      </c>
      <c r="B662" s="40" t="s">
        <v>726</v>
      </c>
    </row>
    <row r="663" spans="1:2" x14ac:dyDescent="0.3">
      <c r="A663" s="42">
        <v>2048</v>
      </c>
      <c r="B663" s="40" t="s">
        <v>727</v>
      </c>
    </row>
    <row r="664" spans="1:2" x14ac:dyDescent="0.3">
      <c r="A664" s="42">
        <v>2049</v>
      </c>
      <c r="B664" s="40" t="s">
        <v>728</v>
      </c>
    </row>
    <row r="665" spans="1:2" x14ac:dyDescent="0.3">
      <c r="A665" s="42">
        <v>2050</v>
      </c>
      <c r="B665" s="40" t="s">
        <v>729</v>
      </c>
    </row>
    <row r="666" spans="1:2" x14ac:dyDescent="0.3">
      <c r="A666" s="42">
        <v>2051</v>
      </c>
      <c r="B666" s="40" t="s">
        <v>730</v>
      </c>
    </row>
    <row r="667" spans="1:2" x14ac:dyDescent="0.3">
      <c r="A667" s="42">
        <v>2052</v>
      </c>
      <c r="B667" s="40" t="s">
        <v>731</v>
      </c>
    </row>
    <row r="668" spans="1:2" x14ac:dyDescent="0.3">
      <c r="A668" s="42">
        <v>2053</v>
      </c>
      <c r="B668" s="40" t="s">
        <v>732</v>
      </c>
    </row>
    <row r="669" spans="1:2" x14ac:dyDescent="0.3">
      <c r="A669" s="42">
        <v>2054</v>
      </c>
      <c r="B669" s="40" t="s">
        <v>733</v>
      </c>
    </row>
    <row r="670" spans="1:2" x14ac:dyDescent="0.3">
      <c r="A670" s="42">
        <v>2055</v>
      </c>
      <c r="B670" s="40" t="s">
        <v>734</v>
      </c>
    </row>
    <row r="671" spans="1:2" x14ac:dyDescent="0.3">
      <c r="A671" s="42">
        <v>2057</v>
      </c>
      <c r="B671" s="40" t="s">
        <v>735</v>
      </c>
    </row>
    <row r="672" spans="1:2" x14ac:dyDescent="0.3">
      <c r="A672" s="42">
        <v>2059</v>
      </c>
      <c r="B672" s="40" t="s">
        <v>736</v>
      </c>
    </row>
    <row r="673" spans="1:2" x14ac:dyDescent="0.3">
      <c r="A673" s="42">
        <v>2060</v>
      </c>
      <c r="B673" s="40" t="s">
        <v>737</v>
      </c>
    </row>
    <row r="674" spans="1:2" x14ac:dyDescent="0.3">
      <c r="A674" s="42">
        <v>2061</v>
      </c>
      <c r="B674" s="40" t="s">
        <v>738</v>
      </c>
    </row>
    <row r="675" spans="1:2" x14ac:dyDescent="0.3">
      <c r="A675" s="42">
        <v>2062</v>
      </c>
      <c r="B675" s="40" t="s">
        <v>739</v>
      </c>
    </row>
    <row r="676" spans="1:2" x14ac:dyDescent="0.3">
      <c r="A676" s="42">
        <v>2063</v>
      </c>
      <c r="B676" s="40" t="s">
        <v>740</v>
      </c>
    </row>
    <row r="677" spans="1:2" x14ac:dyDescent="0.3">
      <c r="A677" s="42">
        <v>2065</v>
      </c>
      <c r="B677" s="40" t="s">
        <v>741</v>
      </c>
    </row>
    <row r="678" spans="1:2" x14ac:dyDescent="0.3">
      <c r="A678" s="42">
        <v>2066</v>
      </c>
      <c r="B678" s="40" t="s">
        <v>742</v>
      </c>
    </row>
    <row r="679" spans="1:2" x14ac:dyDescent="0.3">
      <c r="A679" s="42">
        <v>2067</v>
      </c>
      <c r="B679" s="40" t="s">
        <v>743</v>
      </c>
    </row>
    <row r="680" spans="1:2" x14ac:dyDescent="0.3">
      <c r="A680" s="42">
        <v>2068</v>
      </c>
      <c r="B680" s="40" t="s">
        <v>744</v>
      </c>
    </row>
    <row r="681" spans="1:2" x14ac:dyDescent="0.3">
      <c r="A681" s="42">
        <v>2069</v>
      </c>
      <c r="B681" s="40" t="s">
        <v>745</v>
      </c>
    </row>
    <row r="682" spans="1:2" x14ac:dyDescent="0.3">
      <c r="A682" s="42">
        <v>2070</v>
      </c>
      <c r="B682" s="40" t="s">
        <v>746</v>
      </c>
    </row>
    <row r="683" spans="1:2" x14ac:dyDescent="0.3">
      <c r="A683" s="42">
        <v>2071</v>
      </c>
      <c r="B683" s="40" t="s">
        <v>747</v>
      </c>
    </row>
    <row r="684" spans="1:2" x14ac:dyDescent="0.3">
      <c r="A684" s="42">
        <v>2072</v>
      </c>
      <c r="B684" s="40" t="s">
        <v>748</v>
      </c>
    </row>
    <row r="685" spans="1:2" x14ac:dyDescent="0.3">
      <c r="A685" s="42">
        <v>2073</v>
      </c>
      <c r="B685" s="40" t="s">
        <v>749</v>
      </c>
    </row>
    <row r="686" spans="1:2" x14ac:dyDescent="0.3">
      <c r="A686" s="42">
        <v>2075</v>
      </c>
      <c r="B686" s="40" t="s">
        <v>750</v>
      </c>
    </row>
    <row r="687" spans="1:2" x14ac:dyDescent="0.3">
      <c r="A687" s="42">
        <v>2076</v>
      </c>
      <c r="B687" s="40" t="s">
        <v>751</v>
      </c>
    </row>
    <row r="688" spans="1:2" x14ac:dyDescent="0.3">
      <c r="A688" s="42">
        <v>2077</v>
      </c>
      <c r="B688" s="40" t="s">
        <v>752</v>
      </c>
    </row>
    <row r="689" spans="1:2" x14ac:dyDescent="0.3">
      <c r="A689" s="42">
        <v>2078</v>
      </c>
      <c r="B689" s="40" t="s">
        <v>753</v>
      </c>
    </row>
    <row r="690" spans="1:2" x14ac:dyDescent="0.3">
      <c r="A690" s="42">
        <v>2079</v>
      </c>
      <c r="B690" s="40" t="s">
        <v>754</v>
      </c>
    </row>
    <row r="691" spans="1:2" x14ac:dyDescent="0.3">
      <c r="A691" s="42">
        <v>2080</v>
      </c>
      <c r="B691" s="40" t="s">
        <v>755</v>
      </c>
    </row>
    <row r="692" spans="1:2" x14ac:dyDescent="0.3">
      <c r="A692" s="42">
        <v>2081</v>
      </c>
      <c r="B692" s="40" t="s">
        <v>756</v>
      </c>
    </row>
    <row r="693" spans="1:2" x14ac:dyDescent="0.3">
      <c r="A693" s="42">
        <v>2082</v>
      </c>
      <c r="B693" s="40" t="s">
        <v>757</v>
      </c>
    </row>
    <row r="694" spans="1:2" x14ac:dyDescent="0.3">
      <c r="A694" s="42">
        <v>2083</v>
      </c>
      <c r="B694" s="40" t="s">
        <v>758</v>
      </c>
    </row>
    <row r="695" spans="1:2" x14ac:dyDescent="0.3">
      <c r="A695" s="42">
        <v>2084</v>
      </c>
      <c r="B695" s="40" t="s">
        <v>759</v>
      </c>
    </row>
    <row r="696" spans="1:2" x14ac:dyDescent="0.3">
      <c r="A696" s="42">
        <v>2085</v>
      </c>
      <c r="B696" s="40" t="s">
        <v>760</v>
      </c>
    </row>
    <row r="697" spans="1:2" x14ac:dyDescent="0.3">
      <c r="A697" s="42">
        <v>2086</v>
      </c>
      <c r="B697" s="40" t="s">
        <v>761</v>
      </c>
    </row>
    <row r="698" spans="1:2" x14ac:dyDescent="0.3">
      <c r="A698" s="42">
        <v>2087</v>
      </c>
      <c r="B698" s="40" t="s">
        <v>762</v>
      </c>
    </row>
    <row r="699" spans="1:2" x14ac:dyDescent="0.3">
      <c r="A699" s="42">
        <v>2088</v>
      </c>
      <c r="B699" s="40" t="s">
        <v>763</v>
      </c>
    </row>
    <row r="700" spans="1:2" x14ac:dyDescent="0.3">
      <c r="A700" s="42">
        <v>2089</v>
      </c>
      <c r="B700" s="40" t="s">
        <v>764</v>
      </c>
    </row>
    <row r="701" spans="1:2" x14ac:dyDescent="0.3">
      <c r="A701" s="42">
        <v>2090</v>
      </c>
      <c r="B701" s="40" t="s">
        <v>765</v>
      </c>
    </row>
    <row r="702" spans="1:2" x14ac:dyDescent="0.3">
      <c r="A702" s="42">
        <v>2091</v>
      </c>
      <c r="B702" s="40" t="s">
        <v>766</v>
      </c>
    </row>
    <row r="703" spans="1:2" x14ac:dyDescent="0.3">
      <c r="A703" s="42">
        <v>2092</v>
      </c>
      <c r="B703" s="40" t="s">
        <v>767</v>
      </c>
    </row>
    <row r="704" spans="1:2" x14ac:dyDescent="0.3">
      <c r="A704" s="42">
        <v>2093</v>
      </c>
      <c r="B704" s="40" t="s">
        <v>768</v>
      </c>
    </row>
    <row r="705" spans="1:2" x14ac:dyDescent="0.3">
      <c r="A705" s="42">
        <v>2094</v>
      </c>
      <c r="B705" s="40" t="s">
        <v>769</v>
      </c>
    </row>
    <row r="706" spans="1:2" x14ac:dyDescent="0.3">
      <c r="A706" s="42">
        <v>2095</v>
      </c>
      <c r="B706" s="40" t="s">
        <v>770</v>
      </c>
    </row>
    <row r="707" spans="1:2" x14ac:dyDescent="0.3">
      <c r="A707" s="42">
        <v>2096</v>
      </c>
      <c r="B707" s="40" t="s">
        <v>771</v>
      </c>
    </row>
    <row r="708" spans="1:2" x14ac:dyDescent="0.3">
      <c r="A708" s="42">
        <v>2097</v>
      </c>
      <c r="B708" s="40" t="s">
        <v>772</v>
      </c>
    </row>
    <row r="709" spans="1:2" x14ac:dyDescent="0.3">
      <c r="A709" s="42">
        <v>2098</v>
      </c>
      <c r="B709" s="40" t="s">
        <v>773</v>
      </c>
    </row>
    <row r="710" spans="1:2" x14ac:dyDescent="0.3">
      <c r="A710" s="42">
        <v>2099</v>
      </c>
      <c r="B710" s="40" t="s">
        <v>774</v>
      </c>
    </row>
    <row r="711" spans="1:2" x14ac:dyDescent="0.3">
      <c r="A711" s="42">
        <v>2100</v>
      </c>
      <c r="B711" s="40" t="s">
        <v>775</v>
      </c>
    </row>
    <row r="712" spans="1:2" x14ac:dyDescent="0.3">
      <c r="A712" s="42">
        <v>2101</v>
      </c>
      <c r="B712" s="40" t="s">
        <v>776</v>
      </c>
    </row>
    <row r="713" spans="1:2" x14ac:dyDescent="0.3">
      <c r="A713" s="42">
        <v>2102</v>
      </c>
      <c r="B713" s="40" t="s">
        <v>777</v>
      </c>
    </row>
    <row r="714" spans="1:2" x14ac:dyDescent="0.3">
      <c r="A714" s="42">
        <v>2103</v>
      </c>
      <c r="B714" s="40" t="s">
        <v>778</v>
      </c>
    </row>
    <row r="715" spans="1:2" x14ac:dyDescent="0.3">
      <c r="A715" s="42">
        <v>2104</v>
      </c>
      <c r="B715" s="40" t="s">
        <v>779</v>
      </c>
    </row>
    <row r="716" spans="1:2" x14ac:dyDescent="0.3">
      <c r="A716" s="42">
        <v>2105</v>
      </c>
      <c r="B716" s="40" t="s">
        <v>780</v>
      </c>
    </row>
    <row r="717" spans="1:2" x14ac:dyDescent="0.3">
      <c r="A717" s="42">
        <v>2106</v>
      </c>
      <c r="B717" s="40" t="s">
        <v>781</v>
      </c>
    </row>
    <row r="718" spans="1:2" x14ac:dyDescent="0.3">
      <c r="A718" s="42">
        <v>2107</v>
      </c>
      <c r="B718" s="40" t="s">
        <v>782</v>
      </c>
    </row>
    <row r="719" spans="1:2" x14ac:dyDescent="0.3">
      <c r="A719" s="42">
        <v>2108</v>
      </c>
      <c r="B719" s="40" t="s">
        <v>783</v>
      </c>
    </row>
    <row r="720" spans="1:2" x14ac:dyDescent="0.3">
      <c r="A720" s="42">
        <v>2109</v>
      </c>
      <c r="B720" s="40" t="s">
        <v>784</v>
      </c>
    </row>
    <row r="721" spans="1:2" x14ac:dyDescent="0.3">
      <c r="A721" s="42">
        <v>2110</v>
      </c>
      <c r="B721" s="40" t="s">
        <v>785</v>
      </c>
    </row>
    <row r="722" spans="1:2" x14ac:dyDescent="0.3">
      <c r="A722" s="42">
        <v>2111</v>
      </c>
      <c r="B722" s="40" t="s">
        <v>786</v>
      </c>
    </row>
    <row r="723" spans="1:2" x14ac:dyDescent="0.3">
      <c r="A723" s="42">
        <v>2112</v>
      </c>
      <c r="B723" s="40" t="s">
        <v>787</v>
      </c>
    </row>
    <row r="724" spans="1:2" x14ac:dyDescent="0.3">
      <c r="A724" s="42">
        <v>2113</v>
      </c>
      <c r="B724" s="40" t="s">
        <v>788</v>
      </c>
    </row>
    <row r="725" spans="1:2" x14ac:dyDescent="0.3">
      <c r="A725" s="42">
        <v>2114</v>
      </c>
      <c r="B725" s="40" t="s">
        <v>789</v>
      </c>
    </row>
    <row r="726" spans="1:2" x14ac:dyDescent="0.3">
      <c r="A726" s="42">
        <v>2115</v>
      </c>
      <c r="B726" s="40" t="s">
        <v>790</v>
      </c>
    </row>
    <row r="727" spans="1:2" x14ac:dyDescent="0.3">
      <c r="A727" s="42">
        <v>2116</v>
      </c>
      <c r="B727" s="40" t="s">
        <v>791</v>
      </c>
    </row>
    <row r="728" spans="1:2" x14ac:dyDescent="0.3">
      <c r="A728" s="42">
        <v>2117</v>
      </c>
      <c r="B728" s="40" t="s">
        <v>792</v>
      </c>
    </row>
    <row r="729" spans="1:2" x14ac:dyDescent="0.3">
      <c r="A729" s="42">
        <v>2118</v>
      </c>
      <c r="B729" s="40" t="s">
        <v>793</v>
      </c>
    </row>
    <row r="730" spans="1:2" x14ac:dyDescent="0.3">
      <c r="A730" s="42">
        <v>2119</v>
      </c>
      <c r="B730" s="40" t="s">
        <v>794</v>
      </c>
    </row>
    <row r="731" spans="1:2" x14ac:dyDescent="0.3">
      <c r="A731" s="42">
        <v>2120</v>
      </c>
      <c r="B731" s="40" t="s">
        <v>795</v>
      </c>
    </row>
    <row r="732" spans="1:2" x14ac:dyDescent="0.3">
      <c r="A732" s="42">
        <v>2121</v>
      </c>
      <c r="B732" s="40" t="s">
        <v>796</v>
      </c>
    </row>
    <row r="733" spans="1:2" x14ac:dyDescent="0.3">
      <c r="A733" s="42">
        <v>2122</v>
      </c>
      <c r="B733" s="40" t="s">
        <v>797</v>
      </c>
    </row>
    <row r="734" spans="1:2" x14ac:dyDescent="0.3">
      <c r="A734" s="42">
        <v>2123</v>
      </c>
      <c r="B734" s="40" t="s">
        <v>798</v>
      </c>
    </row>
    <row r="735" spans="1:2" x14ac:dyDescent="0.3">
      <c r="A735" s="42">
        <v>2124</v>
      </c>
      <c r="B735" s="40" t="s">
        <v>799</v>
      </c>
    </row>
    <row r="736" spans="1:2" x14ac:dyDescent="0.3">
      <c r="A736" s="42">
        <v>2125</v>
      </c>
      <c r="B736" s="40" t="s">
        <v>800</v>
      </c>
    </row>
    <row r="737" spans="1:2" x14ac:dyDescent="0.3">
      <c r="A737" s="42">
        <v>2126</v>
      </c>
      <c r="B737" s="40" t="s">
        <v>801</v>
      </c>
    </row>
    <row r="738" spans="1:2" x14ac:dyDescent="0.3">
      <c r="A738" s="42">
        <v>2127</v>
      </c>
      <c r="B738" s="40" t="s">
        <v>802</v>
      </c>
    </row>
    <row r="739" spans="1:2" x14ac:dyDescent="0.3">
      <c r="A739" s="42">
        <v>2128</v>
      </c>
      <c r="B739" s="40" t="s">
        <v>803</v>
      </c>
    </row>
    <row r="740" spans="1:2" x14ac:dyDescent="0.3">
      <c r="A740" s="42">
        <v>2129</v>
      </c>
      <c r="B740" s="40" t="s">
        <v>804</v>
      </c>
    </row>
    <row r="741" spans="1:2" x14ac:dyDescent="0.3">
      <c r="A741" s="42">
        <v>2130</v>
      </c>
      <c r="B741" s="40" t="s">
        <v>805</v>
      </c>
    </row>
    <row r="742" spans="1:2" x14ac:dyDescent="0.3">
      <c r="A742" s="42">
        <v>2131</v>
      </c>
      <c r="B742" s="40" t="s">
        <v>806</v>
      </c>
    </row>
    <row r="743" spans="1:2" x14ac:dyDescent="0.3">
      <c r="A743" s="42">
        <v>2132</v>
      </c>
      <c r="B743" s="40" t="s">
        <v>807</v>
      </c>
    </row>
    <row r="744" spans="1:2" x14ac:dyDescent="0.3">
      <c r="A744" s="42">
        <v>2133</v>
      </c>
      <c r="B744" s="40" t="s">
        <v>808</v>
      </c>
    </row>
    <row r="745" spans="1:2" x14ac:dyDescent="0.3">
      <c r="A745" s="42">
        <v>2134</v>
      </c>
      <c r="B745" s="40" t="s">
        <v>809</v>
      </c>
    </row>
    <row r="746" spans="1:2" x14ac:dyDescent="0.3">
      <c r="A746" s="42">
        <v>2135</v>
      </c>
      <c r="B746" s="40" t="s">
        <v>810</v>
      </c>
    </row>
    <row r="747" spans="1:2" x14ac:dyDescent="0.3">
      <c r="A747" s="42">
        <v>2136</v>
      </c>
      <c r="B747" s="40" t="s">
        <v>811</v>
      </c>
    </row>
    <row r="748" spans="1:2" x14ac:dyDescent="0.3">
      <c r="A748" s="42">
        <v>2137</v>
      </c>
      <c r="B748" s="40" t="s">
        <v>812</v>
      </c>
    </row>
    <row r="749" spans="1:2" x14ac:dyDescent="0.3">
      <c r="A749" s="42">
        <v>2138</v>
      </c>
      <c r="B749" s="40" t="s">
        <v>813</v>
      </c>
    </row>
    <row r="750" spans="1:2" x14ac:dyDescent="0.3">
      <c r="A750" s="42">
        <v>2139</v>
      </c>
      <c r="B750" s="40" t="s">
        <v>814</v>
      </c>
    </row>
    <row r="751" spans="1:2" x14ac:dyDescent="0.3">
      <c r="A751" s="42">
        <v>2140</v>
      </c>
      <c r="B751" s="40" t="s">
        <v>815</v>
      </c>
    </row>
    <row r="752" spans="1:2" x14ac:dyDescent="0.3">
      <c r="A752" s="42">
        <v>2141</v>
      </c>
      <c r="B752" s="40" t="s">
        <v>816</v>
      </c>
    </row>
    <row r="753" spans="1:2" x14ac:dyDescent="0.3">
      <c r="A753" s="42">
        <v>2142</v>
      </c>
      <c r="B753" s="40" t="s">
        <v>817</v>
      </c>
    </row>
    <row r="754" spans="1:2" x14ac:dyDescent="0.3">
      <c r="A754" s="42">
        <v>2143</v>
      </c>
      <c r="B754" s="40" t="s">
        <v>818</v>
      </c>
    </row>
    <row r="755" spans="1:2" x14ac:dyDescent="0.3">
      <c r="A755" s="42">
        <v>2144</v>
      </c>
      <c r="B755" s="40" t="s">
        <v>819</v>
      </c>
    </row>
    <row r="756" spans="1:2" x14ac:dyDescent="0.3">
      <c r="A756" s="42">
        <v>2145</v>
      </c>
      <c r="B756" s="40" t="s">
        <v>820</v>
      </c>
    </row>
    <row r="757" spans="1:2" x14ac:dyDescent="0.3">
      <c r="A757" s="42">
        <v>2146</v>
      </c>
      <c r="B757" s="40" t="s">
        <v>821</v>
      </c>
    </row>
    <row r="758" spans="1:2" x14ac:dyDescent="0.3">
      <c r="A758" s="42">
        <v>2147</v>
      </c>
      <c r="B758" s="40" t="s">
        <v>822</v>
      </c>
    </row>
    <row r="759" spans="1:2" x14ac:dyDescent="0.3">
      <c r="A759" s="42">
        <v>2148</v>
      </c>
      <c r="B759" s="40" t="s">
        <v>823</v>
      </c>
    </row>
    <row r="760" spans="1:2" x14ac:dyDescent="0.3">
      <c r="A760" s="42">
        <v>2149</v>
      </c>
      <c r="B760" s="40" t="s">
        <v>824</v>
      </c>
    </row>
    <row r="761" spans="1:2" x14ac:dyDescent="0.3">
      <c r="A761" s="42">
        <v>2150</v>
      </c>
      <c r="B761" s="40" t="s">
        <v>825</v>
      </c>
    </row>
    <row r="762" spans="1:2" x14ac:dyDescent="0.3">
      <c r="A762" s="42">
        <v>2151</v>
      </c>
      <c r="B762" s="40" t="s">
        <v>826</v>
      </c>
    </row>
    <row r="763" spans="1:2" x14ac:dyDescent="0.3">
      <c r="A763" s="42">
        <v>2152</v>
      </c>
      <c r="B763" s="40" t="s">
        <v>827</v>
      </c>
    </row>
    <row r="764" spans="1:2" x14ac:dyDescent="0.3">
      <c r="A764" s="42">
        <v>2153</v>
      </c>
      <c r="B764" s="40" t="s">
        <v>828</v>
      </c>
    </row>
    <row r="765" spans="1:2" x14ac:dyDescent="0.3">
      <c r="A765" s="42">
        <v>2154</v>
      </c>
      <c r="B765" s="40" t="s">
        <v>829</v>
      </c>
    </row>
    <row r="766" spans="1:2" x14ac:dyDescent="0.3">
      <c r="A766" s="42">
        <v>2155</v>
      </c>
      <c r="B766" s="40" t="s">
        <v>830</v>
      </c>
    </row>
    <row r="767" spans="1:2" x14ac:dyDescent="0.3">
      <c r="A767" s="42">
        <v>2156</v>
      </c>
      <c r="B767" s="40" t="s">
        <v>831</v>
      </c>
    </row>
    <row r="768" spans="1:2" x14ac:dyDescent="0.3">
      <c r="A768" s="42">
        <v>2157</v>
      </c>
      <c r="B768" s="40" t="s">
        <v>832</v>
      </c>
    </row>
    <row r="769" spans="1:2" x14ac:dyDescent="0.3">
      <c r="A769" s="42">
        <v>2158</v>
      </c>
      <c r="B769" s="40" t="s">
        <v>833</v>
      </c>
    </row>
    <row r="770" spans="1:2" x14ac:dyDescent="0.3">
      <c r="A770" s="42">
        <v>2159</v>
      </c>
      <c r="B770" s="40" t="s">
        <v>834</v>
      </c>
    </row>
    <row r="771" spans="1:2" x14ac:dyDescent="0.3">
      <c r="A771" s="42">
        <v>2160</v>
      </c>
      <c r="B771" s="40" t="s">
        <v>835</v>
      </c>
    </row>
    <row r="772" spans="1:2" x14ac:dyDescent="0.3">
      <c r="A772" s="42">
        <v>2161</v>
      </c>
      <c r="B772" s="40" t="s">
        <v>836</v>
      </c>
    </row>
    <row r="773" spans="1:2" x14ac:dyDescent="0.3">
      <c r="A773" s="42">
        <v>2162</v>
      </c>
      <c r="B773" s="40" t="s">
        <v>837</v>
      </c>
    </row>
    <row r="774" spans="1:2" x14ac:dyDescent="0.3">
      <c r="A774" s="42">
        <v>2163</v>
      </c>
      <c r="B774" s="40" t="s">
        <v>838</v>
      </c>
    </row>
    <row r="775" spans="1:2" x14ac:dyDescent="0.3">
      <c r="A775" s="42">
        <v>2164</v>
      </c>
      <c r="B775" s="40" t="s">
        <v>839</v>
      </c>
    </row>
    <row r="776" spans="1:2" x14ac:dyDescent="0.3">
      <c r="A776" s="42">
        <v>2165</v>
      </c>
      <c r="B776" s="40" t="s">
        <v>840</v>
      </c>
    </row>
    <row r="777" spans="1:2" x14ac:dyDescent="0.3">
      <c r="A777" s="42">
        <v>2166</v>
      </c>
      <c r="B777" s="40" t="s">
        <v>841</v>
      </c>
    </row>
    <row r="778" spans="1:2" x14ac:dyDescent="0.3">
      <c r="A778" s="42">
        <v>2167</v>
      </c>
      <c r="B778" s="40" t="s">
        <v>842</v>
      </c>
    </row>
    <row r="779" spans="1:2" x14ac:dyDescent="0.3">
      <c r="A779" s="42">
        <v>2168</v>
      </c>
      <c r="B779" s="40" t="s">
        <v>843</v>
      </c>
    </row>
    <row r="780" spans="1:2" x14ac:dyDescent="0.3">
      <c r="A780" s="42">
        <v>2169</v>
      </c>
      <c r="B780" s="40" t="s">
        <v>844</v>
      </c>
    </row>
    <row r="781" spans="1:2" x14ac:dyDescent="0.3">
      <c r="A781" s="42">
        <v>2170</v>
      </c>
      <c r="B781" s="40" t="s">
        <v>845</v>
      </c>
    </row>
    <row r="782" spans="1:2" x14ac:dyDescent="0.3">
      <c r="A782" s="42">
        <v>2171</v>
      </c>
      <c r="B782" s="40" t="s">
        <v>846</v>
      </c>
    </row>
    <row r="783" spans="1:2" x14ac:dyDescent="0.3">
      <c r="A783" s="42">
        <v>2172</v>
      </c>
      <c r="B783" s="40" t="s">
        <v>847</v>
      </c>
    </row>
    <row r="784" spans="1:2" x14ac:dyDescent="0.3">
      <c r="A784" s="42">
        <v>2173</v>
      </c>
      <c r="B784" s="40" t="s">
        <v>848</v>
      </c>
    </row>
    <row r="785" spans="1:2" x14ac:dyDescent="0.3">
      <c r="A785" s="42">
        <v>2174</v>
      </c>
      <c r="B785" s="40" t="s">
        <v>849</v>
      </c>
    </row>
    <row r="786" spans="1:2" x14ac:dyDescent="0.3">
      <c r="A786" s="42">
        <v>2175</v>
      </c>
      <c r="B786" s="40" t="s">
        <v>850</v>
      </c>
    </row>
    <row r="787" spans="1:2" x14ac:dyDescent="0.3">
      <c r="A787" s="42">
        <v>2176</v>
      </c>
      <c r="B787" s="40" t="s">
        <v>851</v>
      </c>
    </row>
    <row r="788" spans="1:2" x14ac:dyDescent="0.3">
      <c r="A788" s="42">
        <v>2177</v>
      </c>
      <c r="B788" s="40" t="s">
        <v>852</v>
      </c>
    </row>
    <row r="789" spans="1:2" x14ac:dyDescent="0.3">
      <c r="A789" s="42">
        <v>2178</v>
      </c>
      <c r="B789" s="40" t="s">
        <v>853</v>
      </c>
    </row>
    <row r="790" spans="1:2" x14ac:dyDescent="0.3">
      <c r="A790" s="42">
        <v>2179</v>
      </c>
      <c r="B790" s="40" t="s">
        <v>854</v>
      </c>
    </row>
    <row r="791" spans="1:2" x14ac:dyDescent="0.3">
      <c r="A791" s="42">
        <v>2180</v>
      </c>
      <c r="B791" s="40" t="s">
        <v>855</v>
      </c>
    </row>
    <row r="792" spans="1:2" x14ac:dyDescent="0.3">
      <c r="A792" s="42">
        <v>2181</v>
      </c>
      <c r="B792" s="40" t="s">
        <v>856</v>
      </c>
    </row>
    <row r="793" spans="1:2" x14ac:dyDescent="0.3">
      <c r="A793" s="42">
        <v>2182</v>
      </c>
      <c r="B793" s="40" t="s">
        <v>857</v>
      </c>
    </row>
    <row r="794" spans="1:2" x14ac:dyDescent="0.3">
      <c r="A794" s="42">
        <v>2183</v>
      </c>
      <c r="B794" s="40" t="s">
        <v>858</v>
      </c>
    </row>
    <row r="795" spans="1:2" x14ac:dyDescent="0.3">
      <c r="A795" s="42">
        <v>2184</v>
      </c>
      <c r="B795" s="40" t="s">
        <v>859</v>
      </c>
    </row>
    <row r="796" spans="1:2" x14ac:dyDescent="0.3">
      <c r="A796" s="42">
        <v>2185</v>
      </c>
      <c r="B796" s="40" t="s">
        <v>860</v>
      </c>
    </row>
    <row r="797" spans="1:2" x14ac:dyDescent="0.3">
      <c r="A797" s="42">
        <v>2186</v>
      </c>
      <c r="B797" s="40" t="s">
        <v>861</v>
      </c>
    </row>
    <row r="798" spans="1:2" x14ac:dyDescent="0.3">
      <c r="A798" s="42">
        <v>2187</v>
      </c>
      <c r="B798" s="40" t="s">
        <v>862</v>
      </c>
    </row>
    <row r="799" spans="1:2" x14ac:dyDescent="0.3">
      <c r="A799" s="42">
        <v>2188</v>
      </c>
      <c r="B799" s="40" t="s">
        <v>863</v>
      </c>
    </row>
    <row r="800" spans="1:2" x14ac:dyDescent="0.3">
      <c r="A800" s="42">
        <v>2189</v>
      </c>
      <c r="B800" s="40" t="s">
        <v>864</v>
      </c>
    </row>
    <row r="801" spans="1:2" x14ac:dyDescent="0.3">
      <c r="A801" s="42">
        <v>2190</v>
      </c>
      <c r="B801" s="40" t="s">
        <v>865</v>
      </c>
    </row>
    <row r="802" spans="1:2" x14ac:dyDescent="0.3">
      <c r="A802" s="42">
        <v>2191</v>
      </c>
      <c r="B802" s="40" t="s">
        <v>866</v>
      </c>
    </row>
    <row r="803" spans="1:2" x14ac:dyDescent="0.3">
      <c r="A803" s="42">
        <v>2192</v>
      </c>
      <c r="B803" s="40" t="s">
        <v>867</v>
      </c>
    </row>
    <row r="804" spans="1:2" x14ac:dyDescent="0.3">
      <c r="A804" s="42">
        <v>2193</v>
      </c>
      <c r="B804" s="40" t="s">
        <v>868</v>
      </c>
    </row>
    <row r="805" spans="1:2" x14ac:dyDescent="0.3">
      <c r="A805" s="42">
        <v>2194</v>
      </c>
      <c r="B805" s="40" t="s">
        <v>869</v>
      </c>
    </row>
    <row r="806" spans="1:2" x14ac:dyDescent="0.3">
      <c r="A806" s="42">
        <v>2195</v>
      </c>
      <c r="B806" s="40" t="s">
        <v>870</v>
      </c>
    </row>
    <row r="807" spans="1:2" x14ac:dyDescent="0.3">
      <c r="A807" s="42">
        <v>2196</v>
      </c>
      <c r="B807" s="40" t="s">
        <v>871</v>
      </c>
    </row>
    <row r="808" spans="1:2" x14ac:dyDescent="0.3">
      <c r="A808" s="42">
        <v>2197</v>
      </c>
      <c r="B808" s="40" t="s">
        <v>872</v>
      </c>
    </row>
    <row r="809" spans="1:2" x14ac:dyDescent="0.3">
      <c r="A809" s="42">
        <v>2198</v>
      </c>
      <c r="B809" s="40" t="s">
        <v>873</v>
      </c>
    </row>
    <row r="810" spans="1:2" x14ac:dyDescent="0.3">
      <c r="A810" s="42">
        <v>2199</v>
      </c>
      <c r="B810" s="40" t="s">
        <v>874</v>
      </c>
    </row>
    <row r="811" spans="1:2" x14ac:dyDescent="0.3">
      <c r="A811" s="42">
        <v>2200</v>
      </c>
      <c r="B811" s="40" t="s">
        <v>875</v>
      </c>
    </row>
    <row r="812" spans="1:2" x14ac:dyDescent="0.3">
      <c r="A812" s="42">
        <v>2201</v>
      </c>
      <c r="B812" s="40" t="s">
        <v>876</v>
      </c>
    </row>
    <row r="813" spans="1:2" x14ac:dyDescent="0.3">
      <c r="A813" s="42">
        <v>2202</v>
      </c>
      <c r="B813" s="40" t="s">
        <v>877</v>
      </c>
    </row>
    <row r="814" spans="1:2" x14ac:dyDescent="0.3">
      <c r="A814" s="42">
        <v>2203</v>
      </c>
      <c r="B814" s="40" t="s">
        <v>878</v>
      </c>
    </row>
    <row r="815" spans="1:2" x14ac:dyDescent="0.3">
      <c r="A815" s="42">
        <v>2204</v>
      </c>
      <c r="B815" s="40" t="s">
        <v>879</v>
      </c>
    </row>
    <row r="816" spans="1:2" x14ac:dyDescent="0.3">
      <c r="A816" s="42">
        <v>2205</v>
      </c>
      <c r="B816" s="40" t="s">
        <v>880</v>
      </c>
    </row>
    <row r="817" spans="1:2" x14ac:dyDescent="0.3">
      <c r="A817" s="42">
        <v>2206</v>
      </c>
      <c r="B817" s="40" t="s">
        <v>881</v>
      </c>
    </row>
    <row r="818" spans="1:2" x14ac:dyDescent="0.3">
      <c r="A818" s="42">
        <v>2207</v>
      </c>
      <c r="B818" s="40" t="s">
        <v>882</v>
      </c>
    </row>
    <row r="819" spans="1:2" x14ac:dyDescent="0.3">
      <c r="A819" s="42">
        <v>2208</v>
      </c>
      <c r="B819" s="40" t="s">
        <v>883</v>
      </c>
    </row>
    <row r="820" spans="1:2" x14ac:dyDescent="0.3">
      <c r="A820" s="42">
        <v>2209</v>
      </c>
      <c r="B820" s="40" t="s">
        <v>884</v>
      </c>
    </row>
    <row r="821" spans="1:2" x14ac:dyDescent="0.3">
      <c r="A821" s="42">
        <v>2210</v>
      </c>
      <c r="B821" s="40" t="s">
        <v>885</v>
      </c>
    </row>
    <row r="822" spans="1:2" x14ac:dyDescent="0.3">
      <c r="A822" s="42">
        <v>2213</v>
      </c>
      <c r="B822" s="40" t="s">
        <v>886</v>
      </c>
    </row>
    <row r="823" spans="1:2" x14ac:dyDescent="0.3">
      <c r="A823" s="42">
        <v>2214</v>
      </c>
      <c r="B823" s="40" t="s">
        <v>887</v>
      </c>
    </row>
    <row r="824" spans="1:2" x14ac:dyDescent="0.3">
      <c r="A824" s="42">
        <v>2215</v>
      </c>
      <c r="B824" s="40" t="s">
        <v>888</v>
      </c>
    </row>
    <row r="825" spans="1:2" x14ac:dyDescent="0.3">
      <c r="A825" s="42">
        <v>2216</v>
      </c>
      <c r="B825" s="40" t="s">
        <v>889</v>
      </c>
    </row>
    <row r="826" spans="1:2" x14ac:dyDescent="0.3">
      <c r="A826" s="42">
        <v>2217</v>
      </c>
      <c r="B826" s="40" t="s">
        <v>890</v>
      </c>
    </row>
    <row r="827" spans="1:2" x14ac:dyDescent="0.3">
      <c r="A827" s="42">
        <v>2218</v>
      </c>
      <c r="B827" s="40" t="s">
        <v>891</v>
      </c>
    </row>
    <row r="828" spans="1:2" x14ac:dyDescent="0.3">
      <c r="A828" s="42">
        <v>2219</v>
      </c>
      <c r="B828" s="40" t="s">
        <v>892</v>
      </c>
    </row>
    <row r="829" spans="1:2" x14ac:dyDescent="0.3">
      <c r="A829" s="42">
        <v>2220</v>
      </c>
      <c r="B829" s="40" t="s">
        <v>893</v>
      </c>
    </row>
    <row r="830" spans="1:2" x14ac:dyDescent="0.3">
      <c r="A830" s="42">
        <v>2221</v>
      </c>
      <c r="B830" s="40" t="s">
        <v>894</v>
      </c>
    </row>
    <row r="831" spans="1:2" x14ac:dyDescent="0.3">
      <c r="A831" s="42">
        <v>2222</v>
      </c>
      <c r="B831" s="40" t="s">
        <v>895</v>
      </c>
    </row>
    <row r="832" spans="1:2" x14ac:dyDescent="0.3">
      <c r="A832" s="42">
        <v>2223</v>
      </c>
      <c r="B832" s="40" t="s">
        <v>896</v>
      </c>
    </row>
    <row r="833" spans="1:2" x14ac:dyDescent="0.3">
      <c r="A833" s="42">
        <v>2224</v>
      </c>
      <c r="B833" s="40" t="s">
        <v>897</v>
      </c>
    </row>
    <row r="834" spans="1:2" x14ac:dyDescent="0.3">
      <c r="A834" s="42">
        <v>2225</v>
      </c>
      <c r="B834" s="40" t="s">
        <v>898</v>
      </c>
    </row>
    <row r="835" spans="1:2" x14ac:dyDescent="0.3">
      <c r="A835" s="42">
        <v>2226</v>
      </c>
      <c r="B835" s="40" t="s">
        <v>899</v>
      </c>
    </row>
    <row r="836" spans="1:2" x14ac:dyDescent="0.3">
      <c r="A836" s="42">
        <v>2227</v>
      </c>
      <c r="B836" s="40" t="s">
        <v>900</v>
      </c>
    </row>
    <row r="837" spans="1:2" x14ac:dyDescent="0.3">
      <c r="A837" s="42">
        <v>2228</v>
      </c>
      <c r="B837" s="40" t="s">
        <v>901</v>
      </c>
    </row>
    <row r="838" spans="1:2" x14ac:dyDescent="0.3">
      <c r="A838" s="42">
        <v>2229</v>
      </c>
      <c r="B838" s="40" t="s">
        <v>902</v>
      </c>
    </row>
    <row r="839" spans="1:2" x14ac:dyDescent="0.3">
      <c r="A839" s="42">
        <v>2230</v>
      </c>
      <c r="B839" s="40" t="s">
        <v>903</v>
      </c>
    </row>
    <row r="840" spans="1:2" x14ac:dyDescent="0.3">
      <c r="A840" s="42">
        <v>2231</v>
      </c>
      <c r="B840" s="40" t="s">
        <v>904</v>
      </c>
    </row>
    <row r="841" spans="1:2" x14ac:dyDescent="0.3">
      <c r="A841" s="42">
        <v>2232</v>
      </c>
      <c r="B841" s="40" t="s">
        <v>905</v>
      </c>
    </row>
    <row r="842" spans="1:2" x14ac:dyDescent="0.3">
      <c r="A842" s="42">
        <v>2233</v>
      </c>
      <c r="B842" s="40" t="s">
        <v>906</v>
      </c>
    </row>
    <row r="843" spans="1:2" x14ac:dyDescent="0.3">
      <c r="A843" s="42">
        <v>2234</v>
      </c>
      <c r="B843" s="40" t="s">
        <v>907</v>
      </c>
    </row>
    <row r="844" spans="1:2" x14ac:dyDescent="0.3">
      <c r="A844" s="42">
        <v>2235</v>
      </c>
      <c r="B844" s="40" t="s">
        <v>908</v>
      </c>
    </row>
    <row r="845" spans="1:2" x14ac:dyDescent="0.3">
      <c r="A845" s="42">
        <v>2236</v>
      </c>
      <c r="B845" s="40" t="s">
        <v>909</v>
      </c>
    </row>
    <row r="846" spans="1:2" x14ac:dyDescent="0.3">
      <c r="A846" s="42">
        <v>2237</v>
      </c>
      <c r="B846" s="40" t="s">
        <v>910</v>
      </c>
    </row>
    <row r="847" spans="1:2" x14ac:dyDescent="0.3">
      <c r="A847" s="42">
        <v>2238</v>
      </c>
      <c r="B847" s="40" t="s">
        <v>911</v>
      </c>
    </row>
    <row r="848" spans="1:2" x14ac:dyDescent="0.3">
      <c r="A848" s="42">
        <v>2239</v>
      </c>
      <c r="B848" s="40" t="s">
        <v>912</v>
      </c>
    </row>
    <row r="849" spans="1:2" x14ac:dyDescent="0.3">
      <c r="A849" s="42">
        <v>2240</v>
      </c>
      <c r="B849" s="40" t="s">
        <v>913</v>
      </c>
    </row>
    <row r="850" spans="1:2" x14ac:dyDescent="0.3">
      <c r="A850" s="42">
        <v>2241</v>
      </c>
      <c r="B850" s="40" t="s">
        <v>914</v>
      </c>
    </row>
    <row r="851" spans="1:2" x14ac:dyDescent="0.3">
      <c r="A851" s="42">
        <v>2242</v>
      </c>
      <c r="B851" s="40" t="s">
        <v>915</v>
      </c>
    </row>
    <row r="852" spans="1:2" x14ac:dyDescent="0.3">
      <c r="A852" s="42">
        <v>2243</v>
      </c>
      <c r="B852" s="40" t="s">
        <v>916</v>
      </c>
    </row>
    <row r="853" spans="1:2" x14ac:dyDescent="0.3">
      <c r="A853" s="42">
        <v>2244</v>
      </c>
      <c r="B853" s="40" t="s">
        <v>917</v>
      </c>
    </row>
    <row r="854" spans="1:2" x14ac:dyDescent="0.3">
      <c r="A854" s="42">
        <v>2245</v>
      </c>
      <c r="B854" s="40" t="s">
        <v>918</v>
      </c>
    </row>
    <row r="855" spans="1:2" x14ac:dyDescent="0.3">
      <c r="A855" s="42">
        <v>2246</v>
      </c>
      <c r="B855" s="40" t="s">
        <v>919</v>
      </c>
    </row>
    <row r="856" spans="1:2" x14ac:dyDescent="0.3">
      <c r="A856" s="42">
        <v>2247</v>
      </c>
      <c r="B856" s="40" t="s">
        <v>920</v>
      </c>
    </row>
    <row r="857" spans="1:2" x14ac:dyDescent="0.3">
      <c r="A857" s="42">
        <v>2248</v>
      </c>
      <c r="B857" s="40" t="s">
        <v>921</v>
      </c>
    </row>
    <row r="858" spans="1:2" x14ac:dyDescent="0.3">
      <c r="A858" s="42">
        <v>2249</v>
      </c>
      <c r="B858" s="40" t="s">
        <v>922</v>
      </c>
    </row>
    <row r="859" spans="1:2" x14ac:dyDescent="0.3">
      <c r="A859" s="42">
        <v>2250</v>
      </c>
      <c r="B859" s="40" t="s">
        <v>923</v>
      </c>
    </row>
    <row r="860" spans="1:2" x14ac:dyDescent="0.3">
      <c r="A860" s="42">
        <v>2251</v>
      </c>
      <c r="B860" s="40" t="s">
        <v>924</v>
      </c>
    </row>
    <row r="861" spans="1:2" x14ac:dyDescent="0.3">
      <c r="A861" s="42">
        <v>2252</v>
      </c>
      <c r="B861" s="40" t="s">
        <v>925</v>
      </c>
    </row>
    <row r="862" spans="1:2" x14ac:dyDescent="0.3">
      <c r="A862" s="42">
        <v>2253</v>
      </c>
      <c r="B862" s="40" t="s">
        <v>926</v>
      </c>
    </row>
    <row r="863" spans="1:2" x14ac:dyDescent="0.3">
      <c r="A863" s="42">
        <v>2254</v>
      </c>
      <c r="B863" s="40" t="s">
        <v>927</v>
      </c>
    </row>
    <row r="864" spans="1:2" x14ac:dyDescent="0.3">
      <c r="A864" s="42">
        <v>2255</v>
      </c>
      <c r="B864" s="40" t="s">
        <v>928</v>
      </c>
    </row>
    <row r="865" spans="1:2" x14ac:dyDescent="0.3">
      <c r="A865" s="42">
        <v>2256</v>
      </c>
      <c r="B865" s="40" t="s">
        <v>929</v>
      </c>
    </row>
    <row r="866" spans="1:2" x14ac:dyDescent="0.3">
      <c r="A866" s="42">
        <v>2257</v>
      </c>
      <c r="B866" s="40" t="s">
        <v>930</v>
      </c>
    </row>
    <row r="867" spans="1:2" x14ac:dyDescent="0.3">
      <c r="A867" s="42">
        <v>2258</v>
      </c>
      <c r="B867" s="40" t="s">
        <v>931</v>
      </c>
    </row>
    <row r="868" spans="1:2" x14ac:dyDescent="0.3">
      <c r="A868" s="42">
        <v>2259</v>
      </c>
      <c r="B868" s="40" t="s">
        <v>932</v>
      </c>
    </row>
    <row r="869" spans="1:2" x14ac:dyDescent="0.3">
      <c r="A869" s="42">
        <v>2260</v>
      </c>
      <c r="B869" s="40" t="s">
        <v>933</v>
      </c>
    </row>
    <row r="870" spans="1:2" x14ac:dyDescent="0.3">
      <c r="A870" s="42">
        <v>2261</v>
      </c>
      <c r="B870" s="40" t="s">
        <v>934</v>
      </c>
    </row>
    <row r="871" spans="1:2" x14ac:dyDescent="0.3">
      <c r="A871" s="42">
        <v>2262</v>
      </c>
      <c r="B871" s="40" t="s">
        <v>935</v>
      </c>
    </row>
    <row r="872" spans="1:2" x14ac:dyDescent="0.3">
      <c r="A872" s="42">
        <v>2263</v>
      </c>
      <c r="B872" s="40" t="s">
        <v>936</v>
      </c>
    </row>
    <row r="873" spans="1:2" x14ac:dyDescent="0.3">
      <c r="A873" s="42">
        <v>2264</v>
      </c>
      <c r="B873" s="40" t="s">
        <v>937</v>
      </c>
    </row>
    <row r="874" spans="1:2" x14ac:dyDescent="0.3">
      <c r="A874" s="42">
        <v>2265</v>
      </c>
      <c r="B874" s="40" t="s">
        <v>938</v>
      </c>
    </row>
    <row r="875" spans="1:2" x14ac:dyDescent="0.3">
      <c r="A875" s="42">
        <v>2266</v>
      </c>
      <c r="B875" s="40" t="s">
        <v>939</v>
      </c>
    </row>
    <row r="876" spans="1:2" x14ac:dyDescent="0.3">
      <c r="A876" s="42">
        <v>2267</v>
      </c>
      <c r="B876" s="40" t="s">
        <v>940</v>
      </c>
    </row>
    <row r="877" spans="1:2" x14ac:dyDescent="0.3">
      <c r="A877" s="42">
        <v>2268</v>
      </c>
      <c r="B877" s="40" t="s">
        <v>941</v>
      </c>
    </row>
    <row r="878" spans="1:2" x14ac:dyDescent="0.3">
      <c r="A878" s="42">
        <v>2269</v>
      </c>
      <c r="B878" s="40" t="s">
        <v>942</v>
      </c>
    </row>
    <row r="879" spans="1:2" x14ac:dyDescent="0.3">
      <c r="A879" s="42">
        <v>2270</v>
      </c>
      <c r="B879" s="40" t="s">
        <v>943</v>
      </c>
    </row>
    <row r="880" spans="1:2" x14ac:dyDescent="0.3">
      <c r="A880" s="42">
        <v>2271</v>
      </c>
      <c r="B880" s="40" t="s">
        <v>944</v>
      </c>
    </row>
    <row r="881" spans="1:2" x14ac:dyDescent="0.3">
      <c r="A881" s="42">
        <v>2272</v>
      </c>
      <c r="B881" s="40" t="s">
        <v>945</v>
      </c>
    </row>
    <row r="882" spans="1:2" x14ac:dyDescent="0.3">
      <c r="A882" s="42">
        <v>2273</v>
      </c>
      <c r="B882" s="40" t="s">
        <v>946</v>
      </c>
    </row>
    <row r="883" spans="1:2" x14ac:dyDescent="0.3">
      <c r="A883" s="42">
        <v>2274</v>
      </c>
      <c r="B883" s="40" t="s">
        <v>947</v>
      </c>
    </row>
    <row r="884" spans="1:2" x14ac:dyDescent="0.3">
      <c r="A884" s="42">
        <v>2275</v>
      </c>
      <c r="B884" s="40" t="s">
        <v>948</v>
      </c>
    </row>
    <row r="885" spans="1:2" x14ac:dyDescent="0.3">
      <c r="A885" s="42">
        <v>2276</v>
      </c>
      <c r="B885" s="40" t="s">
        <v>949</v>
      </c>
    </row>
    <row r="886" spans="1:2" x14ac:dyDescent="0.3">
      <c r="A886" s="42">
        <v>2277</v>
      </c>
      <c r="B886" s="40" t="s">
        <v>950</v>
      </c>
    </row>
    <row r="887" spans="1:2" x14ac:dyDescent="0.3">
      <c r="A887" s="42">
        <v>2278</v>
      </c>
      <c r="B887" s="40" t="s">
        <v>951</v>
      </c>
    </row>
    <row r="888" spans="1:2" x14ac:dyDescent="0.3">
      <c r="A888" s="42">
        <v>2279</v>
      </c>
      <c r="B888" s="40" t="s">
        <v>952</v>
      </c>
    </row>
    <row r="889" spans="1:2" x14ac:dyDescent="0.3">
      <c r="A889" s="42">
        <v>2280</v>
      </c>
      <c r="B889" s="40" t="s">
        <v>953</v>
      </c>
    </row>
    <row r="890" spans="1:2" x14ac:dyDescent="0.3">
      <c r="A890" s="42">
        <v>2281</v>
      </c>
      <c r="B890" s="40" t="s">
        <v>954</v>
      </c>
    </row>
    <row r="891" spans="1:2" x14ac:dyDescent="0.3">
      <c r="A891" s="42">
        <v>2282</v>
      </c>
      <c r="B891" s="40" t="s">
        <v>955</v>
      </c>
    </row>
    <row r="892" spans="1:2" x14ac:dyDescent="0.3">
      <c r="A892" s="42">
        <v>2283</v>
      </c>
      <c r="B892" s="40" t="s">
        <v>956</v>
      </c>
    </row>
    <row r="893" spans="1:2" x14ac:dyDescent="0.3">
      <c r="A893" s="42">
        <v>2284</v>
      </c>
      <c r="B893" s="40" t="s">
        <v>957</v>
      </c>
    </row>
    <row r="894" spans="1:2" x14ac:dyDescent="0.3">
      <c r="A894" s="42">
        <v>2285</v>
      </c>
      <c r="B894" s="40" t="s">
        <v>958</v>
      </c>
    </row>
    <row r="895" spans="1:2" x14ac:dyDescent="0.3">
      <c r="A895" s="42">
        <v>2286</v>
      </c>
      <c r="B895" s="40" t="s">
        <v>959</v>
      </c>
    </row>
    <row r="896" spans="1:2" x14ac:dyDescent="0.3">
      <c r="A896" s="42">
        <v>2287</v>
      </c>
      <c r="B896" s="40" t="s">
        <v>960</v>
      </c>
    </row>
    <row r="897" spans="1:2" x14ac:dyDescent="0.3">
      <c r="A897" s="42">
        <v>2288</v>
      </c>
      <c r="B897" s="40" t="s">
        <v>961</v>
      </c>
    </row>
    <row r="898" spans="1:2" x14ac:dyDescent="0.3">
      <c r="A898" s="42">
        <v>2289</v>
      </c>
      <c r="B898" s="40" t="s">
        <v>962</v>
      </c>
    </row>
    <row r="899" spans="1:2" x14ac:dyDescent="0.3">
      <c r="A899" s="42">
        <v>2290</v>
      </c>
      <c r="B899" s="40" t="s">
        <v>963</v>
      </c>
    </row>
    <row r="900" spans="1:2" x14ac:dyDescent="0.3">
      <c r="A900" s="42">
        <v>2291</v>
      </c>
      <c r="B900" s="40" t="s">
        <v>964</v>
      </c>
    </row>
    <row r="901" spans="1:2" x14ac:dyDescent="0.3">
      <c r="A901" s="42">
        <v>2292</v>
      </c>
      <c r="B901" s="40" t="s">
        <v>965</v>
      </c>
    </row>
    <row r="902" spans="1:2" x14ac:dyDescent="0.3">
      <c r="A902" s="42">
        <v>2293</v>
      </c>
      <c r="B902" s="40" t="s">
        <v>966</v>
      </c>
    </row>
    <row r="903" spans="1:2" x14ac:dyDescent="0.3">
      <c r="A903" s="42">
        <v>2294</v>
      </c>
      <c r="B903" s="40" t="s">
        <v>967</v>
      </c>
    </row>
    <row r="904" spans="1:2" x14ac:dyDescent="0.3">
      <c r="A904" s="42">
        <v>2295</v>
      </c>
      <c r="B904" s="40" t="s">
        <v>200</v>
      </c>
    </row>
    <row r="905" spans="1:2" x14ac:dyDescent="0.3">
      <c r="A905" s="42">
        <v>2296</v>
      </c>
      <c r="B905" s="40" t="s">
        <v>968</v>
      </c>
    </row>
    <row r="906" spans="1:2" x14ac:dyDescent="0.3">
      <c r="A906" s="42">
        <v>2297</v>
      </c>
      <c r="B906" s="40" t="s">
        <v>969</v>
      </c>
    </row>
    <row r="907" spans="1:2" x14ac:dyDescent="0.3">
      <c r="A907" s="42">
        <v>2298</v>
      </c>
      <c r="B907" s="40" t="s">
        <v>970</v>
      </c>
    </row>
    <row r="908" spans="1:2" x14ac:dyDescent="0.3">
      <c r="A908" s="42">
        <v>2299</v>
      </c>
      <c r="B908" s="40" t="s">
        <v>971</v>
      </c>
    </row>
    <row r="909" spans="1:2" x14ac:dyDescent="0.3">
      <c r="A909" s="42">
        <v>2300</v>
      </c>
      <c r="B909" s="40" t="s">
        <v>972</v>
      </c>
    </row>
    <row r="910" spans="1:2" x14ac:dyDescent="0.3">
      <c r="A910" s="42">
        <v>2301</v>
      </c>
      <c r="B910" s="40" t="s">
        <v>973</v>
      </c>
    </row>
    <row r="911" spans="1:2" x14ac:dyDescent="0.3">
      <c r="A911" s="42">
        <v>2302</v>
      </c>
      <c r="B911" s="40" t="s">
        <v>974</v>
      </c>
    </row>
    <row r="912" spans="1:2" x14ac:dyDescent="0.3">
      <c r="A912" s="42">
        <v>2303</v>
      </c>
      <c r="B912" s="40" t="s">
        <v>975</v>
      </c>
    </row>
    <row r="913" spans="1:2" x14ac:dyDescent="0.3">
      <c r="A913" s="42">
        <v>2304</v>
      </c>
      <c r="B913" s="40" t="s">
        <v>976</v>
      </c>
    </row>
    <row r="914" spans="1:2" x14ac:dyDescent="0.3">
      <c r="A914" s="42">
        <v>2308</v>
      </c>
      <c r="B914" s="40" t="s">
        <v>977</v>
      </c>
    </row>
    <row r="915" spans="1:2" x14ac:dyDescent="0.3">
      <c r="A915" s="42">
        <v>2309</v>
      </c>
      <c r="B915" s="40" t="s">
        <v>978</v>
      </c>
    </row>
    <row r="916" spans="1:2" x14ac:dyDescent="0.3">
      <c r="A916" s="42">
        <v>2310</v>
      </c>
      <c r="B916" s="40" t="s">
        <v>979</v>
      </c>
    </row>
    <row r="917" spans="1:2" x14ac:dyDescent="0.3">
      <c r="A917" s="42">
        <v>2311</v>
      </c>
      <c r="B917" s="40" t="s">
        <v>980</v>
      </c>
    </row>
    <row r="918" spans="1:2" x14ac:dyDescent="0.3">
      <c r="A918" s="42">
        <v>2312</v>
      </c>
      <c r="B918" s="40" t="s">
        <v>981</v>
      </c>
    </row>
    <row r="919" spans="1:2" x14ac:dyDescent="0.3">
      <c r="A919" s="42">
        <v>2313</v>
      </c>
      <c r="B919" s="40" t="s">
        <v>982</v>
      </c>
    </row>
    <row r="920" spans="1:2" x14ac:dyDescent="0.3">
      <c r="A920" s="42">
        <v>2314</v>
      </c>
      <c r="B920" s="40" t="s">
        <v>983</v>
      </c>
    </row>
    <row r="921" spans="1:2" x14ac:dyDescent="0.3">
      <c r="A921" s="42">
        <v>2315</v>
      </c>
      <c r="B921" s="40" t="s">
        <v>984</v>
      </c>
    </row>
    <row r="922" spans="1:2" x14ac:dyDescent="0.3">
      <c r="A922" s="42">
        <v>2316</v>
      </c>
      <c r="B922" s="40" t="s">
        <v>985</v>
      </c>
    </row>
    <row r="923" spans="1:2" x14ac:dyDescent="0.3">
      <c r="A923" s="42">
        <v>2318</v>
      </c>
      <c r="B923" s="40" t="s">
        <v>986</v>
      </c>
    </row>
    <row r="924" spans="1:2" x14ac:dyDescent="0.3">
      <c r="A924" s="42">
        <v>2319</v>
      </c>
      <c r="B924" s="40" t="s">
        <v>987</v>
      </c>
    </row>
    <row r="925" spans="1:2" x14ac:dyDescent="0.3">
      <c r="A925" s="42">
        <v>2320</v>
      </c>
      <c r="B925" s="40" t="s">
        <v>988</v>
      </c>
    </row>
    <row r="926" spans="1:2" x14ac:dyDescent="0.3">
      <c r="A926" s="42">
        <v>2321</v>
      </c>
      <c r="B926" s="40" t="s">
        <v>989</v>
      </c>
    </row>
    <row r="927" spans="1:2" x14ac:dyDescent="0.3">
      <c r="A927" s="42">
        <v>2322</v>
      </c>
      <c r="B927" s="40" t="s">
        <v>990</v>
      </c>
    </row>
    <row r="928" spans="1:2" x14ac:dyDescent="0.3">
      <c r="A928" s="42">
        <v>2323</v>
      </c>
      <c r="B928" s="40" t="s">
        <v>991</v>
      </c>
    </row>
    <row r="929" spans="1:2" x14ac:dyDescent="0.3">
      <c r="A929" s="42">
        <v>2324</v>
      </c>
      <c r="B929" s="40" t="s">
        <v>992</v>
      </c>
    </row>
    <row r="930" spans="1:2" x14ac:dyDescent="0.3">
      <c r="A930" s="42">
        <v>2325</v>
      </c>
      <c r="B930" s="40" t="s">
        <v>993</v>
      </c>
    </row>
    <row r="931" spans="1:2" x14ac:dyDescent="0.3">
      <c r="A931" s="42">
        <v>2326</v>
      </c>
      <c r="B931" s="40" t="s">
        <v>994</v>
      </c>
    </row>
    <row r="932" spans="1:2" x14ac:dyDescent="0.3">
      <c r="A932" s="42">
        <v>2327</v>
      </c>
      <c r="B932" s="40" t="s">
        <v>995</v>
      </c>
    </row>
    <row r="933" spans="1:2" x14ac:dyDescent="0.3">
      <c r="A933" s="42">
        <v>2329</v>
      </c>
      <c r="B933" s="40" t="s">
        <v>996</v>
      </c>
    </row>
    <row r="934" spans="1:2" x14ac:dyDescent="0.3">
      <c r="A934" s="42">
        <v>2330</v>
      </c>
      <c r="B934" s="40" t="s">
        <v>997</v>
      </c>
    </row>
    <row r="935" spans="1:2" x14ac:dyDescent="0.3">
      <c r="A935" s="42">
        <v>2331</v>
      </c>
      <c r="B935" s="40" t="s">
        <v>998</v>
      </c>
    </row>
    <row r="936" spans="1:2" x14ac:dyDescent="0.3">
      <c r="A936" s="42">
        <v>2332</v>
      </c>
      <c r="B936" s="40" t="s">
        <v>999</v>
      </c>
    </row>
    <row r="937" spans="1:2" x14ac:dyDescent="0.3">
      <c r="A937" s="42">
        <v>2333</v>
      </c>
      <c r="B937" s="40" t="s">
        <v>1000</v>
      </c>
    </row>
    <row r="938" spans="1:2" x14ac:dyDescent="0.3">
      <c r="A938" s="42">
        <v>2334</v>
      </c>
      <c r="B938" s="40" t="s">
        <v>1001</v>
      </c>
    </row>
    <row r="939" spans="1:2" x14ac:dyDescent="0.3">
      <c r="A939" s="42">
        <v>2335</v>
      </c>
      <c r="B939" s="40" t="s">
        <v>1002</v>
      </c>
    </row>
    <row r="940" spans="1:2" x14ac:dyDescent="0.3">
      <c r="A940" s="42">
        <v>2336</v>
      </c>
      <c r="B940" s="40" t="s">
        <v>1003</v>
      </c>
    </row>
    <row r="941" spans="1:2" x14ac:dyDescent="0.3">
      <c r="A941" s="42">
        <v>2337</v>
      </c>
      <c r="B941" s="40" t="s">
        <v>1004</v>
      </c>
    </row>
    <row r="942" spans="1:2" x14ac:dyDescent="0.3">
      <c r="A942" s="42">
        <v>2338</v>
      </c>
      <c r="B942" s="40" t="s">
        <v>1005</v>
      </c>
    </row>
    <row r="943" spans="1:2" x14ac:dyDescent="0.3">
      <c r="A943" s="42">
        <v>2339</v>
      </c>
      <c r="B943" s="40" t="s">
        <v>1006</v>
      </c>
    </row>
    <row r="944" spans="1:2" x14ac:dyDescent="0.3">
      <c r="A944" s="42">
        <v>2340</v>
      </c>
      <c r="B944" s="40" t="s">
        <v>1007</v>
      </c>
    </row>
    <row r="945" spans="1:2" x14ac:dyDescent="0.3">
      <c r="A945" s="42">
        <v>2341</v>
      </c>
      <c r="B945" s="40" t="s">
        <v>1008</v>
      </c>
    </row>
    <row r="946" spans="1:2" x14ac:dyDescent="0.3">
      <c r="A946" s="42">
        <v>2342</v>
      </c>
      <c r="B946" s="40" t="s">
        <v>1009</v>
      </c>
    </row>
    <row r="947" spans="1:2" x14ac:dyDescent="0.3">
      <c r="A947" s="42">
        <v>2343</v>
      </c>
      <c r="B947" s="40" t="s">
        <v>1010</v>
      </c>
    </row>
    <row r="948" spans="1:2" x14ac:dyDescent="0.3">
      <c r="A948" s="42">
        <v>2344</v>
      </c>
      <c r="B948" s="40" t="s">
        <v>1011</v>
      </c>
    </row>
    <row r="949" spans="1:2" x14ac:dyDescent="0.3">
      <c r="A949" s="42">
        <v>2345</v>
      </c>
      <c r="B949" s="40" t="s">
        <v>1012</v>
      </c>
    </row>
    <row r="950" spans="1:2" x14ac:dyDescent="0.3">
      <c r="A950" s="42">
        <v>2346</v>
      </c>
      <c r="B950" s="40" t="s">
        <v>1013</v>
      </c>
    </row>
    <row r="951" spans="1:2" x14ac:dyDescent="0.3">
      <c r="A951" s="42">
        <v>2347</v>
      </c>
      <c r="B951" s="40" t="s">
        <v>1014</v>
      </c>
    </row>
    <row r="952" spans="1:2" x14ac:dyDescent="0.3">
      <c r="A952" s="42">
        <v>2348</v>
      </c>
      <c r="B952" s="40" t="s">
        <v>1015</v>
      </c>
    </row>
    <row r="953" spans="1:2" x14ac:dyDescent="0.3">
      <c r="A953" s="42">
        <v>2349</v>
      </c>
      <c r="B953" s="40" t="s">
        <v>1016</v>
      </c>
    </row>
    <row r="954" spans="1:2" x14ac:dyDescent="0.3">
      <c r="A954" s="42">
        <v>2350</v>
      </c>
      <c r="B954" s="40" t="s">
        <v>1017</v>
      </c>
    </row>
    <row r="955" spans="1:2" x14ac:dyDescent="0.3">
      <c r="A955" s="42">
        <v>2351</v>
      </c>
      <c r="B955" s="40" t="s">
        <v>1018</v>
      </c>
    </row>
    <row r="956" spans="1:2" x14ac:dyDescent="0.3">
      <c r="A956" s="42">
        <v>2352</v>
      </c>
      <c r="B956" s="40" t="s">
        <v>1019</v>
      </c>
    </row>
    <row r="957" spans="1:2" x14ac:dyDescent="0.3">
      <c r="A957" s="42">
        <v>2353</v>
      </c>
      <c r="B957" s="40" t="s">
        <v>1020</v>
      </c>
    </row>
    <row r="958" spans="1:2" x14ac:dyDescent="0.3">
      <c r="A958" s="42">
        <v>2354</v>
      </c>
      <c r="B958" s="40" t="s">
        <v>1021</v>
      </c>
    </row>
    <row r="959" spans="1:2" x14ac:dyDescent="0.3">
      <c r="A959" s="42">
        <v>2355</v>
      </c>
      <c r="B959" s="40" t="s">
        <v>1022</v>
      </c>
    </row>
    <row r="960" spans="1:2" x14ac:dyDescent="0.3">
      <c r="A960" s="42">
        <v>2356</v>
      </c>
      <c r="B960" s="40" t="s">
        <v>1023</v>
      </c>
    </row>
    <row r="961" spans="1:2" x14ac:dyDescent="0.3">
      <c r="A961" s="42">
        <v>2357</v>
      </c>
      <c r="B961" s="40" t="s">
        <v>1024</v>
      </c>
    </row>
    <row r="962" spans="1:2" x14ac:dyDescent="0.3">
      <c r="A962" s="42">
        <v>2358</v>
      </c>
      <c r="B962" s="40" t="s">
        <v>1025</v>
      </c>
    </row>
    <row r="963" spans="1:2" x14ac:dyDescent="0.3">
      <c r="A963" s="42">
        <v>2359</v>
      </c>
      <c r="B963" s="40" t="s">
        <v>1026</v>
      </c>
    </row>
    <row r="964" spans="1:2" x14ac:dyDescent="0.3">
      <c r="A964" s="42">
        <v>2360</v>
      </c>
      <c r="B964" s="40" t="s">
        <v>1027</v>
      </c>
    </row>
    <row r="965" spans="1:2" x14ac:dyDescent="0.3">
      <c r="A965" s="42">
        <v>2361</v>
      </c>
      <c r="B965" s="40" t="s">
        <v>811</v>
      </c>
    </row>
    <row r="966" spans="1:2" x14ac:dyDescent="0.3">
      <c r="A966" s="42">
        <v>2362</v>
      </c>
      <c r="B966" s="40" t="s">
        <v>1028</v>
      </c>
    </row>
    <row r="967" spans="1:2" x14ac:dyDescent="0.3">
      <c r="A967" s="42">
        <v>2363</v>
      </c>
      <c r="B967" s="40" t="s">
        <v>1029</v>
      </c>
    </row>
    <row r="968" spans="1:2" x14ac:dyDescent="0.3">
      <c r="A968" s="42">
        <v>2364</v>
      </c>
      <c r="B968" s="40" t="s">
        <v>1030</v>
      </c>
    </row>
    <row r="969" spans="1:2" x14ac:dyDescent="0.3">
      <c r="A969" s="42">
        <v>2365</v>
      </c>
      <c r="B969" s="40" t="s">
        <v>1031</v>
      </c>
    </row>
    <row r="970" spans="1:2" x14ac:dyDescent="0.3">
      <c r="A970" s="42">
        <v>2366</v>
      </c>
      <c r="B970" s="40" t="s">
        <v>1032</v>
      </c>
    </row>
    <row r="971" spans="1:2" x14ac:dyDescent="0.3">
      <c r="A971" s="42">
        <v>2367</v>
      </c>
      <c r="B971" s="40" t="s">
        <v>1033</v>
      </c>
    </row>
    <row r="972" spans="1:2" x14ac:dyDescent="0.3">
      <c r="A972" s="42">
        <v>2368</v>
      </c>
      <c r="B972" s="40" t="s">
        <v>1034</v>
      </c>
    </row>
    <row r="973" spans="1:2" x14ac:dyDescent="0.3">
      <c r="A973" s="42">
        <v>2369</v>
      </c>
      <c r="B973" s="40" t="s">
        <v>1035</v>
      </c>
    </row>
    <row r="974" spans="1:2" x14ac:dyDescent="0.3">
      <c r="A974" s="42">
        <v>2370</v>
      </c>
      <c r="B974" s="40" t="s">
        <v>1036</v>
      </c>
    </row>
    <row r="975" spans="1:2" x14ac:dyDescent="0.3">
      <c r="A975" s="42">
        <v>2371</v>
      </c>
      <c r="B975" s="40" t="s">
        <v>1037</v>
      </c>
    </row>
    <row r="976" spans="1:2" x14ac:dyDescent="0.3">
      <c r="A976" s="42">
        <v>2372</v>
      </c>
      <c r="B976" s="40" t="s">
        <v>1038</v>
      </c>
    </row>
    <row r="977" spans="1:2" x14ac:dyDescent="0.3">
      <c r="A977" s="42">
        <v>2373</v>
      </c>
      <c r="B977" s="40" t="s">
        <v>1039</v>
      </c>
    </row>
    <row r="978" spans="1:2" x14ac:dyDescent="0.3">
      <c r="A978" s="42">
        <v>2374</v>
      </c>
      <c r="B978" s="40" t="s">
        <v>1040</v>
      </c>
    </row>
    <row r="979" spans="1:2" x14ac:dyDescent="0.3">
      <c r="A979" s="42">
        <v>2375</v>
      </c>
      <c r="B979" s="40" t="s">
        <v>1041</v>
      </c>
    </row>
    <row r="980" spans="1:2" x14ac:dyDescent="0.3">
      <c r="A980" s="42">
        <v>2376</v>
      </c>
      <c r="B980" s="40" t="s">
        <v>1042</v>
      </c>
    </row>
    <row r="981" spans="1:2" x14ac:dyDescent="0.3">
      <c r="A981" s="42">
        <v>2377</v>
      </c>
      <c r="B981" s="40" t="s">
        <v>1043</v>
      </c>
    </row>
    <row r="982" spans="1:2" x14ac:dyDescent="0.3">
      <c r="A982" s="42">
        <v>2378</v>
      </c>
      <c r="B982" s="40" t="s">
        <v>1044</v>
      </c>
    </row>
    <row r="983" spans="1:2" x14ac:dyDescent="0.3">
      <c r="A983" s="42">
        <v>2379</v>
      </c>
      <c r="B983" s="40" t="s">
        <v>1045</v>
      </c>
    </row>
    <row r="984" spans="1:2" x14ac:dyDescent="0.3">
      <c r="A984" s="42">
        <v>2380</v>
      </c>
      <c r="B984" s="40" t="s">
        <v>1046</v>
      </c>
    </row>
    <row r="985" spans="1:2" x14ac:dyDescent="0.3">
      <c r="A985" s="42">
        <v>2381</v>
      </c>
      <c r="B985" s="40" t="s">
        <v>1047</v>
      </c>
    </row>
    <row r="986" spans="1:2" x14ac:dyDescent="0.3">
      <c r="A986" s="42">
        <v>2382</v>
      </c>
      <c r="B986" s="40" t="s">
        <v>1048</v>
      </c>
    </row>
    <row r="987" spans="1:2" x14ac:dyDescent="0.3">
      <c r="A987" s="42">
        <v>2383</v>
      </c>
      <c r="B987" s="40" t="s">
        <v>1049</v>
      </c>
    </row>
    <row r="988" spans="1:2" x14ac:dyDescent="0.3">
      <c r="A988" s="42">
        <v>2384</v>
      </c>
      <c r="B988" s="40" t="s">
        <v>1050</v>
      </c>
    </row>
    <row r="989" spans="1:2" x14ac:dyDescent="0.3">
      <c r="A989" s="42">
        <v>2385</v>
      </c>
      <c r="B989" s="40" t="s">
        <v>1051</v>
      </c>
    </row>
    <row r="990" spans="1:2" x14ac:dyDescent="0.3">
      <c r="A990" s="42">
        <v>2386</v>
      </c>
      <c r="B990" s="40" t="s">
        <v>1052</v>
      </c>
    </row>
    <row r="991" spans="1:2" x14ac:dyDescent="0.3">
      <c r="A991" s="42">
        <v>2387</v>
      </c>
      <c r="B991" s="40" t="s">
        <v>1053</v>
      </c>
    </row>
    <row r="992" spans="1:2" x14ac:dyDescent="0.3">
      <c r="A992" s="42">
        <v>2388</v>
      </c>
      <c r="B992" s="40" t="s">
        <v>646</v>
      </c>
    </row>
    <row r="993" spans="1:2" x14ac:dyDescent="0.3">
      <c r="A993" s="42">
        <v>2389</v>
      </c>
      <c r="B993" s="40" t="s">
        <v>1054</v>
      </c>
    </row>
    <row r="994" spans="1:2" x14ac:dyDescent="0.3">
      <c r="A994" s="42">
        <v>2390</v>
      </c>
      <c r="B994" s="40" t="s">
        <v>1055</v>
      </c>
    </row>
    <row r="995" spans="1:2" x14ac:dyDescent="0.3">
      <c r="A995" s="42">
        <v>2391</v>
      </c>
      <c r="B995" s="40" t="s">
        <v>1056</v>
      </c>
    </row>
    <row r="996" spans="1:2" x14ac:dyDescent="0.3">
      <c r="A996" s="42">
        <v>2392</v>
      </c>
      <c r="B996" s="40" t="s">
        <v>1057</v>
      </c>
    </row>
    <row r="997" spans="1:2" x14ac:dyDescent="0.3">
      <c r="A997" s="42">
        <v>2393</v>
      </c>
      <c r="B997" s="40" t="s">
        <v>1058</v>
      </c>
    </row>
    <row r="998" spans="1:2" x14ac:dyDescent="0.3">
      <c r="A998" s="42">
        <v>2394</v>
      </c>
      <c r="B998" s="40" t="s">
        <v>1059</v>
      </c>
    </row>
    <row r="999" spans="1:2" x14ac:dyDescent="0.3">
      <c r="A999" s="42">
        <v>2395</v>
      </c>
      <c r="B999" s="40" t="s">
        <v>1060</v>
      </c>
    </row>
    <row r="1000" spans="1:2" x14ac:dyDescent="0.3">
      <c r="A1000" s="42">
        <v>2396</v>
      </c>
      <c r="B1000" s="40" t="s">
        <v>1061</v>
      </c>
    </row>
    <row r="1001" spans="1:2" x14ac:dyDescent="0.3">
      <c r="A1001" s="42">
        <v>2397</v>
      </c>
      <c r="B1001" s="40" t="s">
        <v>1062</v>
      </c>
    </row>
    <row r="1002" spans="1:2" x14ac:dyDescent="0.3">
      <c r="A1002" s="42">
        <v>2398</v>
      </c>
      <c r="B1002" s="40" t="s">
        <v>1063</v>
      </c>
    </row>
    <row r="1003" spans="1:2" x14ac:dyDescent="0.3">
      <c r="A1003" s="42">
        <v>2399</v>
      </c>
      <c r="B1003" s="40" t="s">
        <v>1064</v>
      </c>
    </row>
    <row r="1004" spans="1:2" x14ac:dyDescent="0.3">
      <c r="A1004" s="42">
        <v>2400</v>
      </c>
      <c r="B1004" s="40" t="s">
        <v>1065</v>
      </c>
    </row>
    <row r="1005" spans="1:2" x14ac:dyDescent="0.3">
      <c r="A1005" s="42">
        <v>2401</v>
      </c>
      <c r="B1005" s="40" t="s">
        <v>1066</v>
      </c>
    </row>
    <row r="1006" spans="1:2" x14ac:dyDescent="0.3">
      <c r="A1006" s="42">
        <v>2402</v>
      </c>
      <c r="B1006" s="40" t="s">
        <v>1067</v>
      </c>
    </row>
    <row r="1007" spans="1:2" x14ac:dyDescent="0.3">
      <c r="A1007" s="42">
        <v>2403</v>
      </c>
      <c r="B1007" s="40" t="s">
        <v>1068</v>
      </c>
    </row>
    <row r="1008" spans="1:2" x14ac:dyDescent="0.3">
      <c r="A1008" s="42">
        <v>2404</v>
      </c>
      <c r="B1008" s="40" t="s">
        <v>1069</v>
      </c>
    </row>
    <row r="1009" spans="1:2" x14ac:dyDescent="0.3">
      <c r="A1009" s="42">
        <v>2405</v>
      </c>
      <c r="B1009" s="40" t="s">
        <v>1070</v>
      </c>
    </row>
    <row r="1010" spans="1:2" x14ac:dyDescent="0.3">
      <c r="A1010" s="42">
        <v>2406</v>
      </c>
      <c r="B1010" s="40" t="s">
        <v>1071</v>
      </c>
    </row>
    <row r="1011" spans="1:2" x14ac:dyDescent="0.3">
      <c r="A1011" s="42">
        <v>2407</v>
      </c>
      <c r="B1011" s="40" t="s">
        <v>1072</v>
      </c>
    </row>
    <row r="1012" spans="1:2" x14ac:dyDescent="0.3">
      <c r="A1012" s="42">
        <v>2408</v>
      </c>
      <c r="B1012" s="40" t="s">
        <v>1073</v>
      </c>
    </row>
    <row r="1013" spans="1:2" x14ac:dyDescent="0.3">
      <c r="A1013" s="42">
        <v>2409</v>
      </c>
      <c r="B1013" s="40" t="s">
        <v>1074</v>
      </c>
    </row>
    <row r="1014" spans="1:2" x14ac:dyDescent="0.3">
      <c r="A1014" s="42">
        <v>2410</v>
      </c>
      <c r="B1014" s="40" t="s">
        <v>1075</v>
      </c>
    </row>
    <row r="1015" spans="1:2" x14ac:dyDescent="0.3">
      <c r="A1015" s="42">
        <v>2411</v>
      </c>
      <c r="B1015" s="40" t="s">
        <v>1076</v>
      </c>
    </row>
    <row r="1016" spans="1:2" x14ac:dyDescent="0.3">
      <c r="A1016" s="42">
        <v>2412</v>
      </c>
      <c r="B1016" s="40" t="s">
        <v>1077</v>
      </c>
    </row>
    <row r="1017" spans="1:2" x14ac:dyDescent="0.3">
      <c r="A1017" s="42">
        <v>2413</v>
      </c>
      <c r="B1017" s="40" t="s">
        <v>1078</v>
      </c>
    </row>
    <row r="1018" spans="1:2" x14ac:dyDescent="0.3">
      <c r="A1018" s="42">
        <v>2414</v>
      </c>
      <c r="B1018" s="40" t="s">
        <v>1079</v>
      </c>
    </row>
    <row r="1019" spans="1:2" x14ac:dyDescent="0.3">
      <c r="A1019" s="42">
        <v>2415</v>
      </c>
      <c r="B1019" s="40" t="s">
        <v>1080</v>
      </c>
    </row>
    <row r="1020" spans="1:2" x14ac:dyDescent="0.3">
      <c r="A1020" s="42">
        <v>2416</v>
      </c>
      <c r="B1020" s="40" t="s">
        <v>1081</v>
      </c>
    </row>
    <row r="1021" spans="1:2" x14ac:dyDescent="0.3">
      <c r="A1021" s="42">
        <v>2417</v>
      </c>
      <c r="B1021" s="40" t="s">
        <v>1082</v>
      </c>
    </row>
    <row r="1022" spans="1:2" x14ac:dyDescent="0.3">
      <c r="A1022" s="42">
        <v>2418</v>
      </c>
      <c r="B1022" s="40" t="s">
        <v>1083</v>
      </c>
    </row>
    <row r="1023" spans="1:2" x14ac:dyDescent="0.3">
      <c r="A1023" s="42">
        <v>2419</v>
      </c>
      <c r="B1023" s="40" t="s">
        <v>1084</v>
      </c>
    </row>
    <row r="1024" spans="1:2" x14ac:dyDescent="0.3">
      <c r="A1024" s="42">
        <v>2420</v>
      </c>
      <c r="B1024" s="40" t="s">
        <v>1085</v>
      </c>
    </row>
    <row r="1025" spans="1:2" x14ac:dyDescent="0.3">
      <c r="A1025" s="42">
        <v>2422</v>
      </c>
      <c r="B1025" s="40" t="s">
        <v>1086</v>
      </c>
    </row>
    <row r="1026" spans="1:2" x14ac:dyDescent="0.3">
      <c r="A1026" s="42">
        <v>2423</v>
      </c>
      <c r="B1026" s="40" t="s">
        <v>1087</v>
      </c>
    </row>
    <row r="1027" spans="1:2" x14ac:dyDescent="0.3">
      <c r="A1027" s="42">
        <v>2428</v>
      </c>
      <c r="B1027" s="40" t="s">
        <v>1088</v>
      </c>
    </row>
    <row r="1028" spans="1:2" x14ac:dyDescent="0.3">
      <c r="A1028" s="42">
        <v>2429</v>
      </c>
      <c r="B1028" s="40" t="s">
        <v>1089</v>
      </c>
    </row>
    <row r="1029" spans="1:2" x14ac:dyDescent="0.3">
      <c r="A1029" s="42">
        <v>2430</v>
      </c>
      <c r="B1029" s="40" t="s">
        <v>1090</v>
      </c>
    </row>
    <row r="1030" spans="1:2" x14ac:dyDescent="0.3">
      <c r="A1030" s="42">
        <v>2431</v>
      </c>
      <c r="B1030" s="40" t="s">
        <v>1091</v>
      </c>
    </row>
    <row r="1031" spans="1:2" x14ac:dyDescent="0.3">
      <c r="A1031" s="42">
        <v>2433</v>
      </c>
      <c r="B1031" s="40" t="s">
        <v>1092</v>
      </c>
    </row>
    <row r="1032" spans="1:2" x14ac:dyDescent="0.3">
      <c r="A1032" s="42">
        <v>2440</v>
      </c>
      <c r="B1032" s="40" t="s">
        <v>1093</v>
      </c>
    </row>
    <row r="1033" spans="1:2" x14ac:dyDescent="0.3">
      <c r="A1033" s="42">
        <v>2441</v>
      </c>
      <c r="B1033" s="40" t="s">
        <v>1094</v>
      </c>
    </row>
    <row r="1034" spans="1:2" x14ac:dyDescent="0.3">
      <c r="A1034" s="42">
        <v>2453</v>
      </c>
      <c r="B1034" s="40" t="s">
        <v>1095</v>
      </c>
    </row>
    <row r="1035" spans="1:2" x14ac:dyDescent="0.3">
      <c r="A1035" s="42">
        <v>2454</v>
      </c>
      <c r="B1035" s="40" t="s">
        <v>1096</v>
      </c>
    </row>
    <row r="1036" spans="1:2" x14ac:dyDescent="0.3">
      <c r="A1036" s="42">
        <v>2455</v>
      </c>
      <c r="B1036" s="40" t="s">
        <v>1097</v>
      </c>
    </row>
    <row r="1037" spans="1:2" x14ac:dyDescent="0.3">
      <c r="A1037" s="42">
        <v>2456</v>
      </c>
      <c r="B1037" s="40" t="s">
        <v>1098</v>
      </c>
    </row>
    <row r="1038" spans="1:2" x14ac:dyDescent="0.3">
      <c r="A1038" s="42">
        <v>2457</v>
      </c>
      <c r="B1038" s="40" t="s">
        <v>1099</v>
      </c>
    </row>
    <row r="1039" spans="1:2" x14ac:dyDescent="0.3">
      <c r="A1039" s="42">
        <v>2458</v>
      </c>
      <c r="B1039" s="40" t="s">
        <v>1100</v>
      </c>
    </row>
    <row r="1040" spans="1:2" x14ac:dyDescent="0.3">
      <c r="A1040" s="42">
        <v>2460</v>
      </c>
      <c r="B1040" s="40" t="s">
        <v>1101</v>
      </c>
    </row>
    <row r="1041" spans="1:2" x14ac:dyDescent="0.3">
      <c r="A1041" s="42">
        <v>2461</v>
      </c>
      <c r="B1041" s="40" t="s">
        <v>1102</v>
      </c>
    </row>
    <row r="1042" spans="1:2" x14ac:dyDescent="0.3">
      <c r="A1042" s="42">
        <v>2463</v>
      </c>
      <c r="B1042" s="40" t="s">
        <v>1103</v>
      </c>
    </row>
    <row r="1043" spans="1:2" x14ac:dyDescent="0.3">
      <c r="A1043" s="42">
        <v>2464</v>
      </c>
      <c r="B1043" s="40" t="s">
        <v>1104</v>
      </c>
    </row>
    <row r="1044" spans="1:2" x14ac:dyDescent="0.3">
      <c r="A1044" s="42">
        <v>2472</v>
      </c>
      <c r="B1044" s="40" t="s">
        <v>1105</v>
      </c>
    </row>
    <row r="1045" spans="1:2" x14ac:dyDescent="0.3">
      <c r="A1045" s="42">
        <v>2473</v>
      </c>
      <c r="B1045" s="40" t="s">
        <v>1106</v>
      </c>
    </row>
    <row r="1046" spans="1:2" x14ac:dyDescent="0.3">
      <c r="A1046" s="42">
        <v>2474</v>
      </c>
      <c r="B1046" s="40" t="s">
        <v>1107</v>
      </c>
    </row>
    <row r="1047" spans="1:2" x14ac:dyDescent="0.3">
      <c r="A1047" s="42">
        <v>2475</v>
      </c>
      <c r="B1047" s="40" t="s">
        <v>1108</v>
      </c>
    </row>
    <row r="1048" spans="1:2" x14ac:dyDescent="0.3">
      <c r="A1048" s="42">
        <v>2476</v>
      </c>
      <c r="B1048" s="40" t="s">
        <v>1109</v>
      </c>
    </row>
    <row r="1049" spans="1:2" x14ac:dyDescent="0.3">
      <c r="A1049" s="42">
        <v>2477</v>
      </c>
      <c r="B1049" s="40" t="s">
        <v>1110</v>
      </c>
    </row>
    <row r="1050" spans="1:2" x14ac:dyDescent="0.3">
      <c r="A1050" s="42">
        <v>2478</v>
      </c>
      <c r="B1050" s="40" t="s">
        <v>1111</v>
      </c>
    </row>
    <row r="1051" spans="1:2" x14ac:dyDescent="0.3">
      <c r="A1051" s="42">
        <v>2481</v>
      </c>
      <c r="B1051" s="40" t="s">
        <v>1112</v>
      </c>
    </row>
    <row r="1052" spans="1:2" x14ac:dyDescent="0.3">
      <c r="A1052" s="42">
        <v>2482</v>
      </c>
      <c r="B1052" s="40" t="s">
        <v>1113</v>
      </c>
    </row>
    <row r="1053" spans="1:2" x14ac:dyDescent="0.3">
      <c r="A1053" s="42">
        <v>2483</v>
      </c>
      <c r="B1053" s="40" t="s">
        <v>1114</v>
      </c>
    </row>
    <row r="1054" spans="1:2" x14ac:dyDescent="0.3">
      <c r="A1054" s="42">
        <v>2489</v>
      </c>
      <c r="B1054" s="40" t="s">
        <v>200</v>
      </c>
    </row>
    <row r="1055" spans="1:2" x14ac:dyDescent="0.3">
      <c r="A1055" s="42">
        <v>2490</v>
      </c>
      <c r="B1055" s="40" t="s">
        <v>1471</v>
      </c>
    </row>
    <row r="1056" spans="1:2" x14ac:dyDescent="0.3">
      <c r="A1056" s="42">
        <v>2491</v>
      </c>
      <c r="B1056" s="40" t="s">
        <v>1115</v>
      </c>
    </row>
    <row r="1057" spans="1:2" x14ac:dyDescent="0.3">
      <c r="A1057" s="42">
        <v>2493</v>
      </c>
      <c r="B1057" s="40" t="s">
        <v>1116</v>
      </c>
    </row>
    <row r="1058" spans="1:2" x14ac:dyDescent="0.3">
      <c r="A1058" s="42">
        <v>2495</v>
      </c>
      <c r="B1058" s="40" t="s">
        <v>1117</v>
      </c>
    </row>
    <row r="1059" spans="1:2" x14ac:dyDescent="0.3">
      <c r="A1059" s="42">
        <v>2497</v>
      </c>
      <c r="B1059" s="40" t="s">
        <v>1118</v>
      </c>
    </row>
    <row r="1060" spans="1:2" x14ac:dyDescent="0.3">
      <c r="A1060" s="42">
        <v>2498</v>
      </c>
      <c r="B1060" s="40" t="s">
        <v>1119</v>
      </c>
    </row>
    <row r="1061" spans="1:2" x14ac:dyDescent="0.3">
      <c r="A1061" s="42">
        <v>2499</v>
      </c>
      <c r="B1061" s="40" t="s">
        <v>1120</v>
      </c>
    </row>
    <row r="1062" spans="1:2" x14ac:dyDescent="0.3">
      <c r="A1062" s="42">
        <v>2500</v>
      </c>
      <c r="B1062" s="40" t="s">
        <v>1121</v>
      </c>
    </row>
    <row r="1063" spans="1:2" x14ac:dyDescent="0.3">
      <c r="A1063" s="42">
        <v>2501</v>
      </c>
      <c r="B1063" s="40" t="s">
        <v>1122</v>
      </c>
    </row>
    <row r="1064" spans="1:2" x14ac:dyDescent="0.3">
      <c r="A1064" s="42">
        <v>2503</v>
      </c>
      <c r="B1064" s="40" t="s">
        <v>1123</v>
      </c>
    </row>
    <row r="1065" spans="1:2" x14ac:dyDescent="0.3">
      <c r="A1065" s="42">
        <v>2508</v>
      </c>
      <c r="B1065" s="40" t="s">
        <v>1124</v>
      </c>
    </row>
    <row r="1066" spans="1:2" x14ac:dyDescent="0.3">
      <c r="A1066" s="42">
        <v>2510</v>
      </c>
      <c r="B1066" s="40" t="s">
        <v>1125</v>
      </c>
    </row>
    <row r="1067" spans="1:2" x14ac:dyDescent="0.3">
      <c r="A1067" s="42">
        <v>2513</v>
      </c>
      <c r="B1067" s="40" t="s">
        <v>1126</v>
      </c>
    </row>
    <row r="1068" spans="1:2" x14ac:dyDescent="0.3">
      <c r="A1068" s="42">
        <v>2514</v>
      </c>
      <c r="B1068" s="40" t="s">
        <v>1127</v>
      </c>
    </row>
    <row r="1069" spans="1:2" x14ac:dyDescent="0.3">
      <c r="A1069" s="42">
        <v>2515</v>
      </c>
      <c r="B1069" s="40" t="s">
        <v>1128</v>
      </c>
    </row>
    <row r="1070" spans="1:2" x14ac:dyDescent="0.3">
      <c r="A1070" s="42">
        <v>2516</v>
      </c>
      <c r="B1070" s="40" t="s">
        <v>1129</v>
      </c>
    </row>
    <row r="1071" spans="1:2" x14ac:dyDescent="0.3">
      <c r="A1071" s="42">
        <v>2517</v>
      </c>
      <c r="B1071" s="40" t="s">
        <v>1130</v>
      </c>
    </row>
    <row r="1072" spans="1:2" x14ac:dyDescent="0.3">
      <c r="A1072" s="42">
        <v>2518</v>
      </c>
      <c r="B1072" s="40" t="s">
        <v>1131</v>
      </c>
    </row>
    <row r="1073" spans="1:2" x14ac:dyDescent="0.3">
      <c r="A1073" s="42">
        <v>2519</v>
      </c>
      <c r="B1073" s="40" t="s">
        <v>1132</v>
      </c>
    </row>
    <row r="1074" spans="1:2" x14ac:dyDescent="0.3">
      <c r="A1074" s="42">
        <v>2520</v>
      </c>
      <c r="B1074" s="40" t="s">
        <v>1133</v>
      </c>
    </row>
    <row r="1075" spans="1:2" x14ac:dyDescent="0.3">
      <c r="A1075" s="42">
        <v>2521</v>
      </c>
      <c r="B1075" s="40" t="s">
        <v>1134</v>
      </c>
    </row>
    <row r="1076" spans="1:2" x14ac:dyDescent="0.3">
      <c r="A1076" s="42">
        <v>2522</v>
      </c>
      <c r="B1076" s="40" t="s">
        <v>1135</v>
      </c>
    </row>
    <row r="1077" spans="1:2" x14ac:dyDescent="0.3">
      <c r="A1077" s="42">
        <v>2523</v>
      </c>
      <c r="B1077" s="41" t="s">
        <v>1136</v>
      </c>
    </row>
    <row r="1078" spans="1:2" x14ac:dyDescent="0.3">
      <c r="A1078" s="42">
        <v>2524</v>
      </c>
      <c r="B1078" s="41" t="s">
        <v>1137</v>
      </c>
    </row>
    <row r="1079" spans="1:2" x14ac:dyDescent="0.3">
      <c r="A1079" s="42">
        <v>2525</v>
      </c>
      <c r="B1079" s="41" t="s">
        <v>1138</v>
      </c>
    </row>
    <row r="1080" spans="1:2" x14ac:dyDescent="0.3">
      <c r="A1080" s="42">
        <v>2526</v>
      </c>
      <c r="B1080" s="41" t="s">
        <v>1139</v>
      </c>
    </row>
    <row r="1081" spans="1:2" x14ac:dyDescent="0.3">
      <c r="A1081" s="42">
        <v>2527</v>
      </c>
      <c r="B1081" s="41" t="s">
        <v>1140</v>
      </c>
    </row>
    <row r="1082" spans="1:2" x14ac:dyDescent="0.3">
      <c r="A1082" s="42">
        <v>2534</v>
      </c>
      <c r="B1082" s="41" t="s">
        <v>1141</v>
      </c>
    </row>
    <row r="1083" spans="1:2" x14ac:dyDescent="0.3">
      <c r="A1083" s="42">
        <v>2535</v>
      </c>
      <c r="B1083" s="41" t="s">
        <v>1142</v>
      </c>
    </row>
    <row r="1084" spans="1:2" x14ac:dyDescent="0.3">
      <c r="A1084" s="42">
        <v>2536</v>
      </c>
      <c r="B1084" s="41" t="s">
        <v>1143</v>
      </c>
    </row>
    <row r="1085" spans="1:2" x14ac:dyDescent="0.3">
      <c r="A1085" s="42">
        <v>2538</v>
      </c>
      <c r="B1085" s="41" t="s">
        <v>1144</v>
      </c>
    </row>
    <row r="1086" spans="1:2" x14ac:dyDescent="0.3">
      <c r="A1086" s="42">
        <v>2539</v>
      </c>
      <c r="B1086" s="41" t="s">
        <v>1145</v>
      </c>
    </row>
    <row r="1087" spans="1:2" x14ac:dyDescent="0.3">
      <c r="A1087" s="42">
        <v>2540</v>
      </c>
      <c r="B1087" s="41" t="s">
        <v>1146</v>
      </c>
    </row>
    <row r="1088" spans="1:2" x14ac:dyDescent="0.3">
      <c r="A1088" s="42">
        <v>2541</v>
      </c>
      <c r="B1088" s="41" t="s">
        <v>1147</v>
      </c>
    </row>
    <row r="1089" spans="1:2" x14ac:dyDescent="0.3">
      <c r="A1089" s="42">
        <v>2542</v>
      </c>
      <c r="B1089" s="41" t="s">
        <v>1148</v>
      </c>
    </row>
    <row r="1090" spans="1:2" x14ac:dyDescent="0.3">
      <c r="A1090" s="42">
        <v>2543</v>
      </c>
      <c r="B1090" s="41" t="s">
        <v>1149</v>
      </c>
    </row>
    <row r="1091" spans="1:2" x14ac:dyDescent="0.3">
      <c r="A1091" s="42">
        <v>2545</v>
      </c>
      <c r="B1091" s="41" t="s">
        <v>1150</v>
      </c>
    </row>
    <row r="1092" spans="1:2" x14ac:dyDescent="0.3">
      <c r="A1092" s="42">
        <v>2546</v>
      </c>
      <c r="B1092" s="41" t="s">
        <v>1151</v>
      </c>
    </row>
    <row r="1093" spans="1:2" x14ac:dyDescent="0.3">
      <c r="A1093" s="42">
        <v>2554</v>
      </c>
      <c r="B1093" s="41" t="s">
        <v>1152</v>
      </c>
    </row>
    <row r="1094" spans="1:2" x14ac:dyDescent="0.3">
      <c r="A1094" s="42">
        <v>2557</v>
      </c>
      <c r="B1094" s="41" t="s">
        <v>1153</v>
      </c>
    </row>
    <row r="1095" spans="1:2" x14ac:dyDescent="0.3">
      <c r="A1095" s="42">
        <v>2558</v>
      </c>
      <c r="B1095" s="41" t="s">
        <v>1154</v>
      </c>
    </row>
    <row r="1096" spans="1:2" x14ac:dyDescent="0.3">
      <c r="A1096" s="42">
        <v>2559</v>
      </c>
      <c r="B1096" s="41" t="s">
        <v>1155</v>
      </c>
    </row>
    <row r="1097" spans="1:2" x14ac:dyDescent="0.3">
      <c r="A1097" s="42">
        <v>2560</v>
      </c>
      <c r="B1097" s="41" t="s">
        <v>1156</v>
      </c>
    </row>
    <row r="1098" spans="1:2" x14ac:dyDescent="0.3">
      <c r="A1098" s="42">
        <v>2561</v>
      </c>
      <c r="B1098" s="41" t="s">
        <v>1157</v>
      </c>
    </row>
    <row r="1099" spans="1:2" x14ac:dyDescent="0.3">
      <c r="A1099" s="42">
        <v>2562</v>
      </c>
      <c r="B1099" s="41" t="s">
        <v>1158</v>
      </c>
    </row>
    <row r="1100" spans="1:2" x14ac:dyDescent="0.3">
      <c r="A1100" s="42">
        <v>2563</v>
      </c>
      <c r="B1100" s="41" t="s">
        <v>1159</v>
      </c>
    </row>
    <row r="1101" spans="1:2" x14ac:dyDescent="0.3">
      <c r="A1101" s="42">
        <v>2564</v>
      </c>
      <c r="B1101" s="41" t="s">
        <v>1160</v>
      </c>
    </row>
    <row r="1102" spans="1:2" x14ac:dyDescent="0.3">
      <c r="A1102" s="42">
        <v>2565</v>
      </c>
      <c r="B1102" s="41" t="s">
        <v>1161</v>
      </c>
    </row>
    <row r="1103" spans="1:2" x14ac:dyDescent="0.3">
      <c r="A1103" s="42">
        <v>2566</v>
      </c>
      <c r="B1103" s="41" t="s">
        <v>1162</v>
      </c>
    </row>
    <row r="1104" spans="1:2" x14ac:dyDescent="0.3">
      <c r="A1104" s="42">
        <v>2567</v>
      </c>
      <c r="B1104" s="41" t="s">
        <v>1162</v>
      </c>
    </row>
    <row r="1105" spans="1:2" x14ac:dyDescent="0.3">
      <c r="A1105" s="42">
        <v>2570</v>
      </c>
      <c r="B1105" s="41" t="s">
        <v>1163</v>
      </c>
    </row>
    <row r="1106" spans="1:2" x14ac:dyDescent="0.3">
      <c r="A1106" s="42">
        <v>2572</v>
      </c>
      <c r="B1106" s="41" t="s">
        <v>1164</v>
      </c>
    </row>
    <row r="1107" spans="1:2" x14ac:dyDescent="0.3">
      <c r="A1107" s="42">
        <v>2573</v>
      </c>
      <c r="B1107" s="41" t="s">
        <v>1165</v>
      </c>
    </row>
    <row r="1108" spans="1:2" x14ac:dyDescent="0.3">
      <c r="A1108" s="42">
        <v>2574</v>
      </c>
      <c r="B1108" s="41" t="s">
        <v>1166</v>
      </c>
    </row>
    <row r="1109" spans="1:2" x14ac:dyDescent="0.3">
      <c r="A1109" s="42">
        <v>2575</v>
      </c>
      <c r="B1109" s="41" t="s">
        <v>1167</v>
      </c>
    </row>
    <row r="1110" spans="1:2" x14ac:dyDescent="0.3">
      <c r="A1110" s="42">
        <v>2576</v>
      </c>
      <c r="B1110" s="41" t="s">
        <v>1168</v>
      </c>
    </row>
    <row r="1111" spans="1:2" x14ac:dyDescent="0.3">
      <c r="A1111" s="42">
        <v>2577</v>
      </c>
      <c r="B1111" s="41" t="s">
        <v>1169</v>
      </c>
    </row>
    <row r="1112" spans="1:2" x14ac:dyDescent="0.3">
      <c r="A1112" s="42">
        <v>2578</v>
      </c>
      <c r="B1112" s="41" t="s">
        <v>1170</v>
      </c>
    </row>
    <row r="1113" spans="1:2" x14ac:dyDescent="0.3">
      <c r="A1113" s="42">
        <v>2579</v>
      </c>
      <c r="B1113" s="41" t="s">
        <v>1170</v>
      </c>
    </row>
    <row r="1114" spans="1:2" x14ac:dyDescent="0.3">
      <c r="A1114" s="42">
        <v>2580</v>
      </c>
      <c r="B1114" s="41" t="s">
        <v>1171</v>
      </c>
    </row>
    <row r="1115" spans="1:2" x14ac:dyDescent="0.3">
      <c r="A1115" s="42">
        <v>2581</v>
      </c>
      <c r="B1115" s="41" t="s">
        <v>1172</v>
      </c>
    </row>
    <row r="1116" spans="1:2" x14ac:dyDescent="0.3">
      <c r="A1116" s="42">
        <v>2582</v>
      </c>
      <c r="B1116" s="41" t="s">
        <v>1172</v>
      </c>
    </row>
    <row r="1117" spans="1:2" x14ac:dyDescent="0.3">
      <c r="A1117" s="42">
        <v>2583</v>
      </c>
      <c r="B1117" s="41" t="s">
        <v>1173</v>
      </c>
    </row>
    <row r="1118" spans="1:2" x14ac:dyDescent="0.3">
      <c r="A1118" s="42">
        <v>2584</v>
      </c>
      <c r="B1118" s="41" t="s">
        <v>1174</v>
      </c>
    </row>
    <row r="1119" spans="1:2" x14ac:dyDescent="0.3">
      <c r="A1119" s="42">
        <v>2585</v>
      </c>
      <c r="B1119" s="41" t="s">
        <v>1175</v>
      </c>
    </row>
    <row r="1120" spans="1:2" x14ac:dyDescent="0.3">
      <c r="A1120" s="42">
        <v>2586</v>
      </c>
      <c r="B1120" s="41" t="s">
        <v>1176</v>
      </c>
    </row>
    <row r="1121" spans="1:2" x14ac:dyDescent="0.3">
      <c r="A1121" s="42">
        <v>2587</v>
      </c>
      <c r="B1121" s="41" t="s">
        <v>1177</v>
      </c>
    </row>
    <row r="1122" spans="1:2" x14ac:dyDescent="0.3">
      <c r="A1122" s="42">
        <v>2588</v>
      </c>
      <c r="B1122" s="41" t="s">
        <v>1178</v>
      </c>
    </row>
    <row r="1123" spans="1:2" x14ac:dyDescent="0.3">
      <c r="A1123" s="42">
        <v>2589</v>
      </c>
      <c r="B1123" s="41" t="s">
        <v>1179</v>
      </c>
    </row>
    <row r="1124" spans="1:2" x14ac:dyDescent="0.3">
      <c r="A1124" s="42">
        <v>2590</v>
      </c>
      <c r="B1124" s="41" t="s">
        <v>1180</v>
      </c>
    </row>
    <row r="1125" spans="1:2" x14ac:dyDescent="0.3">
      <c r="A1125" s="42">
        <v>2591</v>
      </c>
      <c r="B1125" s="41" t="s">
        <v>879</v>
      </c>
    </row>
    <row r="1126" spans="1:2" x14ac:dyDescent="0.3">
      <c r="A1126" s="42">
        <v>2592</v>
      </c>
      <c r="B1126" s="41" t="s">
        <v>1181</v>
      </c>
    </row>
    <row r="1127" spans="1:2" x14ac:dyDescent="0.3">
      <c r="A1127" s="42">
        <v>2593</v>
      </c>
      <c r="B1127" s="41" t="s">
        <v>1182</v>
      </c>
    </row>
    <row r="1128" spans="1:2" x14ac:dyDescent="0.3">
      <c r="A1128" s="42">
        <v>2594</v>
      </c>
      <c r="B1128" s="41" t="s">
        <v>1183</v>
      </c>
    </row>
    <row r="1129" spans="1:2" x14ac:dyDescent="0.3">
      <c r="A1129" s="42">
        <v>2596</v>
      </c>
      <c r="B1129" s="41" t="s">
        <v>782</v>
      </c>
    </row>
    <row r="1130" spans="1:2" x14ac:dyDescent="0.3">
      <c r="A1130" s="42">
        <v>2597</v>
      </c>
      <c r="B1130" s="41" t="s">
        <v>1184</v>
      </c>
    </row>
    <row r="1131" spans="1:2" x14ac:dyDescent="0.3">
      <c r="A1131" s="42">
        <v>2598</v>
      </c>
      <c r="B1131" s="41" t="s">
        <v>1185</v>
      </c>
    </row>
    <row r="1132" spans="1:2" x14ac:dyDescent="0.3">
      <c r="A1132" s="42">
        <v>2600</v>
      </c>
      <c r="B1132" s="41" t="s">
        <v>1186</v>
      </c>
    </row>
    <row r="1133" spans="1:2" x14ac:dyDescent="0.3">
      <c r="A1133" s="42">
        <v>2601</v>
      </c>
      <c r="B1133" s="41" t="s">
        <v>1187</v>
      </c>
    </row>
    <row r="1134" spans="1:2" x14ac:dyDescent="0.3">
      <c r="A1134" s="42">
        <v>2602</v>
      </c>
      <c r="B1134" s="41" t="s">
        <v>1188</v>
      </c>
    </row>
    <row r="1135" spans="1:2" x14ac:dyDescent="0.3">
      <c r="A1135" s="42">
        <v>2603</v>
      </c>
      <c r="B1135" s="41" t="s">
        <v>1189</v>
      </c>
    </row>
    <row r="1136" spans="1:2" x14ac:dyDescent="0.3">
      <c r="A1136" s="42">
        <v>2604</v>
      </c>
      <c r="B1136" s="40" t="s">
        <v>1190</v>
      </c>
    </row>
    <row r="1137" spans="1:3" x14ac:dyDescent="0.3">
      <c r="A1137" s="42">
        <v>2605</v>
      </c>
      <c r="B1137" s="40" t="s">
        <v>1191</v>
      </c>
    </row>
    <row r="1138" spans="1:3" x14ac:dyDescent="0.3">
      <c r="A1138" s="42">
        <v>2606</v>
      </c>
      <c r="B1138" s="41" t="s">
        <v>1192</v>
      </c>
    </row>
    <row r="1139" spans="1:3" x14ac:dyDescent="0.3">
      <c r="A1139" s="42">
        <v>2607</v>
      </c>
      <c r="B1139" s="41" t="s">
        <v>1193</v>
      </c>
    </row>
    <row r="1140" spans="1:3" x14ac:dyDescent="0.3">
      <c r="A1140" s="42">
        <v>2608</v>
      </c>
      <c r="B1140" s="41" t="s">
        <v>1194</v>
      </c>
    </row>
    <row r="1141" spans="1:3" x14ac:dyDescent="0.3">
      <c r="A1141" s="42">
        <v>2609</v>
      </c>
      <c r="B1141" s="41" t="s">
        <v>1195</v>
      </c>
    </row>
    <row r="1142" spans="1:3" x14ac:dyDescent="0.3">
      <c r="A1142" s="42">
        <v>2610</v>
      </c>
      <c r="B1142" s="41" t="s">
        <v>1196</v>
      </c>
    </row>
    <row r="1143" spans="1:3" x14ac:dyDescent="0.3">
      <c r="A1143" s="42">
        <v>2611</v>
      </c>
      <c r="B1143" s="41" t="s">
        <v>1197</v>
      </c>
    </row>
    <row r="1144" spans="1:3" x14ac:dyDescent="0.3">
      <c r="A1144" s="42">
        <v>2612</v>
      </c>
      <c r="B1144" s="41" t="s">
        <v>1198</v>
      </c>
    </row>
    <row r="1145" spans="1:3" x14ac:dyDescent="0.3">
      <c r="A1145" s="42">
        <v>2613</v>
      </c>
      <c r="B1145" s="40" t="s">
        <v>1199</v>
      </c>
    </row>
    <row r="1146" spans="1:3" x14ac:dyDescent="0.3">
      <c r="A1146" s="42">
        <v>2622</v>
      </c>
      <c r="B1146" s="40" t="s">
        <v>1200</v>
      </c>
    </row>
    <row r="1147" spans="1:3" x14ac:dyDescent="0.3">
      <c r="A1147" s="42">
        <v>2626</v>
      </c>
      <c r="B1147" s="40" t="s">
        <v>1201</v>
      </c>
    </row>
    <row r="1148" spans="1:3" x14ac:dyDescent="0.3">
      <c r="A1148" s="42">
        <v>2634</v>
      </c>
      <c r="B1148" s="40" t="s">
        <v>334</v>
      </c>
    </row>
    <row r="1149" spans="1:3" x14ac:dyDescent="0.3">
      <c r="A1149" s="42">
        <v>2635</v>
      </c>
      <c r="B1149" s="40" t="s">
        <v>1378</v>
      </c>
    </row>
    <row r="1150" spans="1:3" x14ac:dyDescent="0.3">
      <c r="A1150" s="42">
        <v>2638</v>
      </c>
      <c r="B1150" s="40" t="s">
        <v>1202</v>
      </c>
    </row>
    <row r="1151" spans="1:3" x14ac:dyDescent="0.3">
      <c r="A1151" s="42">
        <v>2643</v>
      </c>
      <c r="B1151" s="40" t="s">
        <v>1328</v>
      </c>
      <c r="C1151" s="36"/>
    </row>
    <row r="1152" spans="1:3" x14ac:dyDescent="0.3">
      <c r="A1152" s="42">
        <v>2644</v>
      </c>
      <c r="B1152" s="40" t="s">
        <v>1331</v>
      </c>
    </row>
    <row r="1153" spans="1:2" x14ac:dyDescent="0.3">
      <c r="A1153" s="42">
        <v>2645</v>
      </c>
      <c r="B1153" s="40" t="s">
        <v>1419</v>
      </c>
    </row>
    <row r="1154" spans="1:2" x14ac:dyDescent="0.3">
      <c r="A1154" s="42">
        <v>2646</v>
      </c>
      <c r="B1154" s="40" t="s">
        <v>1332</v>
      </c>
    </row>
    <row r="1155" spans="1:2" x14ac:dyDescent="0.3">
      <c r="A1155" s="40">
        <v>2647</v>
      </c>
      <c r="B1155" s="40" t="s">
        <v>1422</v>
      </c>
    </row>
    <row r="1156" spans="1:2" x14ac:dyDescent="0.3">
      <c r="A1156" s="40">
        <v>2648</v>
      </c>
      <c r="B1156" s="40" t="s">
        <v>1421</v>
      </c>
    </row>
    <row r="1157" spans="1:2" x14ac:dyDescent="0.3">
      <c r="A1157" s="40">
        <v>2649</v>
      </c>
      <c r="B1157" s="40" t="s">
        <v>1430</v>
      </c>
    </row>
    <row r="1158" spans="1:2" x14ac:dyDescent="0.3">
      <c r="A1158" s="42">
        <v>2651</v>
      </c>
      <c r="B1158" s="41" t="s">
        <v>1203</v>
      </c>
    </row>
    <row r="1159" spans="1:2" x14ac:dyDescent="0.3">
      <c r="A1159" s="42">
        <v>2652</v>
      </c>
      <c r="B1159" s="41" t="s">
        <v>1204</v>
      </c>
    </row>
    <row r="1160" spans="1:2" x14ac:dyDescent="0.3">
      <c r="A1160" s="42">
        <v>2653</v>
      </c>
      <c r="B1160" s="41" t="s">
        <v>1205</v>
      </c>
    </row>
    <row r="1161" spans="1:2" x14ac:dyDescent="0.3">
      <c r="A1161" s="42">
        <v>2654</v>
      </c>
      <c r="B1161" s="41" t="s">
        <v>1206</v>
      </c>
    </row>
    <row r="1162" spans="1:2" x14ac:dyDescent="0.3">
      <c r="A1162" s="42">
        <v>2655</v>
      </c>
      <c r="B1162" s="41" t="s">
        <v>1207</v>
      </c>
    </row>
    <row r="1163" spans="1:2" x14ac:dyDescent="0.3">
      <c r="A1163" s="42">
        <v>2656</v>
      </c>
      <c r="B1163" s="41" t="s">
        <v>1208</v>
      </c>
    </row>
    <row r="1164" spans="1:2" x14ac:dyDescent="0.3">
      <c r="A1164" s="42">
        <v>2657</v>
      </c>
      <c r="B1164" s="41" t="s">
        <v>1164</v>
      </c>
    </row>
    <row r="1165" spans="1:2" x14ac:dyDescent="0.3">
      <c r="A1165" s="42">
        <v>2658</v>
      </c>
      <c r="B1165" s="41" t="s">
        <v>830</v>
      </c>
    </row>
    <row r="1166" spans="1:2" x14ac:dyDescent="0.3">
      <c r="A1166" s="42">
        <v>2659</v>
      </c>
      <c r="B1166" s="41" t="s">
        <v>1209</v>
      </c>
    </row>
    <row r="1167" spans="1:2" x14ac:dyDescent="0.3">
      <c r="A1167" s="42">
        <v>2660</v>
      </c>
      <c r="B1167" s="41" t="s">
        <v>1210</v>
      </c>
    </row>
    <row r="1168" spans="1:2" x14ac:dyDescent="0.3">
      <c r="A1168" s="42">
        <v>2661</v>
      </c>
      <c r="B1168" s="41" t="s">
        <v>1211</v>
      </c>
    </row>
    <row r="1169" spans="1:2" x14ac:dyDescent="0.3">
      <c r="A1169" s="42">
        <v>2664</v>
      </c>
      <c r="B1169" s="41" t="s">
        <v>1212</v>
      </c>
    </row>
    <row r="1170" spans="1:2" x14ac:dyDescent="0.3">
      <c r="A1170" s="42">
        <v>2665</v>
      </c>
      <c r="B1170" s="41" t="s">
        <v>1213</v>
      </c>
    </row>
    <row r="1171" spans="1:2" x14ac:dyDescent="0.3">
      <c r="A1171" s="42">
        <v>2666</v>
      </c>
      <c r="B1171" s="41" t="s">
        <v>1214</v>
      </c>
    </row>
    <row r="1172" spans="1:2" x14ac:dyDescent="0.3">
      <c r="A1172" s="42">
        <v>2667</v>
      </c>
      <c r="B1172" s="41" t="s">
        <v>1215</v>
      </c>
    </row>
    <row r="1173" spans="1:2" x14ac:dyDescent="0.3">
      <c r="A1173" s="42">
        <v>2668</v>
      </c>
      <c r="B1173" s="41" t="s">
        <v>1216</v>
      </c>
    </row>
    <row r="1174" spans="1:2" x14ac:dyDescent="0.3">
      <c r="A1174" s="42">
        <v>2669</v>
      </c>
      <c r="B1174" s="41" t="s">
        <v>1217</v>
      </c>
    </row>
    <row r="1175" spans="1:2" x14ac:dyDescent="0.3">
      <c r="A1175" s="42">
        <v>2672</v>
      </c>
      <c r="B1175" s="41" t="s">
        <v>1218</v>
      </c>
    </row>
    <row r="1176" spans="1:2" x14ac:dyDescent="0.3">
      <c r="A1176" s="42">
        <v>2673</v>
      </c>
      <c r="B1176" s="41" t="s">
        <v>1219</v>
      </c>
    </row>
    <row r="1177" spans="1:2" x14ac:dyDescent="0.3">
      <c r="A1177" s="42">
        <v>2674</v>
      </c>
      <c r="B1177" s="41" t="s">
        <v>1220</v>
      </c>
    </row>
    <row r="1178" spans="1:2" x14ac:dyDescent="0.3">
      <c r="A1178" s="42">
        <v>2675</v>
      </c>
      <c r="B1178" s="41" t="s">
        <v>1221</v>
      </c>
    </row>
    <row r="1179" spans="1:2" x14ac:dyDescent="0.3">
      <c r="A1179" s="42">
        <v>2676</v>
      </c>
      <c r="B1179" s="41" t="s">
        <v>1222</v>
      </c>
    </row>
    <row r="1180" spans="1:2" x14ac:dyDescent="0.3">
      <c r="A1180" s="42">
        <v>2677</v>
      </c>
      <c r="B1180" s="41" t="s">
        <v>1197</v>
      </c>
    </row>
    <row r="1181" spans="1:2" x14ac:dyDescent="0.3">
      <c r="A1181" s="42">
        <v>2678</v>
      </c>
      <c r="B1181" s="41" t="s">
        <v>1223</v>
      </c>
    </row>
    <row r="1182" spans="1:2" x14ac:dyDescent="0.3">
      <c r="A1182" s="42">
        <v>2679</v>
      </c>
      <c r="B1182" s="41" t="s">
        <v>1224</v>
      </c>
    </row>
    <row r="1183" spans="1:2" x14ac:dyDescent="0.3">
      <c r="A1183" s="42">
        <v>2680</v>
      </c>
      <c r="B1183" s="41" t="s">
        <v>1225</v>
      </c>
    </row>
    <row r="1184" spans="1:2" x14ac:dyDescent="0.3">
      <c r="A1184" s="42">
        <v>2681</v>
      </c>
      <c r="B1184" s="41" t="s">
        <v>1226</v>
      </c>
    </row>
    <row r="1185" spans="1:2" x14ac:dyDescent="0.3">
      <c r="A1185" s="42">
        <v>2682</v>
      </c>
      <c r="B1185" s="41" t="s">
        <v>1227</v>
      </c>
    </row>
    <row r="1186" spans="1:2" x14ac:dyDescent="0.3">
      <c r="A1186" s="42">
        <v>2683</v>
      </c>
      <c r="B1186" s="41" t="s">
        <v>1228</v>
      </c>
    </row>
    <row r="1187" spans="1:2" x14ac:dyDescent="0.3">
      <c r="A1187" s="42">
        <v>2684</v>
      </c>
      <c r="B1187" s="41" t="s">
        <v>797</v>
      </c>
    </row>
    <row r="1188" spans="1:2" x14ac:dyDescent="0.3">
      <c r="A1188" s="42">
        <v>2687</v>
      </c>
      <c r="B1188" s="41" t="s">
        <v>843</v>
      </c>
    </row>
    <row r="1189" spans="1:2" x14ac:dyDescent="0.3">
      <c r="A1189" s="42">
        <v>2688</v>
      </c>
      <c r="B1189" s="41" t="s">
        <v>1229</v>
      </c>
    </row>
    <row r="1190" spans="1:2" x14ac:dyDescent="0.3">
      <c r="A1190" s="42">
        <v>2694</v>
      </c>
      <c r="B1190" s="41" t="s">
        <v>1230</v>
      </c>
    </row>
    <row r="1191" spans="1:2" x14ac:dyDescent="0.3">
      <c r="A1191" s="42">
        <v>2695</v>
      </c>
      <c r="B1191" s="41" t="s">
        <v>1231</v>
      </c>
    </row>
    <row r="1192" spans="1:2" x14ac:dyDescent="0.3">
      <c r="A1192" s="42">
        <v>2696</v>
      </c>
      <c r="B1192" s="41" t="s">
        <v>1232</v>
      </c>
    </row>
    <row r="1193" spans="1:2" x14ac:dyDescent="0.3">
      <c r="A1193" s="42">
        <v>2697</v>
      </c>
      <c r="B1193" s="41" t="s">
        <v>1233</v>
      </c>
    </row>
    <row r="1194" spans="1:2" x14ac:dyDescent="0.3">
      <c r="A1194" s="42">
        <v>2698</v>
      </c>
      <c r="B1194" s="41" t="s">
        <v>1234</v>
      </c>
    </row>
    <row r="1195" spans="1:2" x14ac:dyDescent="0.3">
      <c r="A1195" s="42">
        <v>2699</v>
      </c>
      <c r="B1195" s="41" t="s">
        <v>1235</v>
      </c>
    </row>
    <row r="1196" spans="1:2" x14ac:dyDescent="0.3">
      <c r="A1196" s="42">
        <v>2700</v>
      </c>
      <c r="B1196" s="41" t="s">
        <v>1236</v>
      </c>
    </row>
    <row r="1197" spans="1:2" x14ac:dyDescent="0.3">
      <c r="A1197" s="42">
        <v>2701</v>
      </c>
      <c r="B1197" s="41" t="s">
        <v>1237</v>
      </c>
    </row>
    <row r="1198" spans="1:2" x14ac:dyDescent="0.3">
      <c r="A1198" s="42">
        <v>2702</v>
      </c>
      <c r="B1198" s="41" t="s">
        <v>1238</v>
      </c>
    </row>
    <row r="1199" spans="1:2" x14ac:dyDescent="0.3">
      <c r="A1199" s="42">
        <v>2703</v>
      </c>
      <c r="B1199" s="41" t="s">
        <v>1239</v>
      </c>
    </row>
    <row r="1200" spans="1:2" x14ac:dyDescent="0.3">
      <c r="A1200" s="42">
        <v>2704</v>
      </c>
      <c r="B1200" s="41" t="s">
        <v>1240</v>
      </c>
    </row>
    <row r="1201" spans="1:2" x14ac:dyDescent="0.3">
      <c r="A1201" s="42">
        <v>2705</v>
      </c>
      <c r="B1201" s="41" t="s">
        <v>1241</v>
      </c>
    </row>
    <row r="1202" spans="1:2" x14ac:dyDescent="0.3">
      <c r="A1202" s="42">
        <v>2706</v>
      </c>
      <c r="B1202" s="41" t="s">
        <v>1242</v>
      </c>
    </row>
    <row r="1203" spans="1:2" x14ac:dyDescent="0.3">
      <c r="A1203" s="42">
        <v>2707</v>
      </c>
      <c r="B1203" s="41" t="s">
        <v>1243</v>
      </c>
    </row>
    <row r="1204" spans="1:2" x14ac:dyDescent="0.3">
      <c r="A1204" s="42">
        <v>2708</v>
      </c>
      <c r="B1204" s="41" t="s">
        <v>1244</v>
      </c>
    </row>
    <row r="1205" spans="1:2" x14ac:dyDescent="0.3">
      <c r="A1205" s="42">
        <v>2710</v>
      </c>
      <c r="B1205" s="41" t="s">
        <v>1245</v>
      </c>
    </row>
    <row r="1206" spans="1:2" x14ac:dyDescent="0.3">
      <c r="A1206" s="42">
        <v>2711</v>
      </c>
      <c r="B1206" s="41" t="s">
        <v>1246</v>
      </c>
    </row>
    <row r="1207" spans="1:2" x14ac:dyDescent="0.3">
      <c r="A1207" s="42">
        <v>2712</v>
      </c>
      <c r="B1207" s="41" t="s">
        <v>1247</v>
      </c>
    </row>
    <row r="1208" spans="1:2" x14ac:dyDescent="0.3">
      <c r="A1208" s="42">
        <v>2713</v>
      </c>
      <c r="B1208" s="41" t="s">
        <v>1248</v>
      </c>
    </row>
    <row r="1209" spans="1:2" x14ac:dyDescent="0.3">
      <c r="A1209" s="42">
        <v>2714</v>
      </c>
      <c r="B1209" s="41" t="s">
        <v>1249</v>
      </c>
    </row>
    <row r="1210" spans="1:2" x14ac:dyDescent="0.3">
      <c r="A1210" s="42">
        <v>2715</v>
      </c>
      <c r="B1210" s="41" t="s">
        <v>1250</v>
      </c>
    </row>
    <row r="1211" spans="1:2" x14ac:dyDescent="0.3">
      <c r="A1211" s="42">
        <v>2716</v>
      </c>
      <c r="B1211" s="41" t="s">
        <v>1251</v>
      </c>
    </row>
    <row r="1212" spans="1:2" x14ac:dyDescent="0.3">
      <c r="A1212" s="42">
        <v>2717</v>
      </c>
      <c r="B1212" s="41" t="s">
        <v>1252</v>
      </c>
    </row>
    <row r="1213" spans="1:2" x14ac:dyDescent="0.3">
      <c r="A1213" s="42">
        <v>2718</v>
      </c>
      <c r="B1213" s="41" t="s">
        <v>1253</v>
      </c>
    </row>
    <row r="1214" spans="1:2" x14ac:dyDescent="0.3">
      <c r="A1214" s="42">
        <v>2719</v>
      </c>
      <c r="B1214" s="41" t="s">
        <v>1254</v>
      </c>
    </row>
    <row r="1215" spans="1:2" x14ac:dyDescent="0.3">
      <c r="A1215" s="42">
        <v>2720</v>
      </c>
      <c r="B1215" s="41" t="s">
        <v>1255</v>
      </c>
    </row>
    <row r="1216" spans="1:2" x14ac:dyDescent="0.3">
      <c r="A1216" s="42">
        <v>2721</v>
      </c>
      <c r="B1216" s="41" t="s">
        <v>1256</v>
      </c>
    </row>
    <row r="1217" spans="1:2" x14ac:dyDescent="0.3">
      <c r="A1217" s="42">
        <v>2722</v>
      </c>
      <c r="B1217" s="41" t="s">
        <v>1257</v>
      </c>
    </row>
    <row r="1218" spans="1:2" x14ac:dyDescent="0.3">
      <c r="A1218" s="42">
        <v>2723</v>
      </c>
      <c r="B1218" s="41" t="s">
        <v>1258</v>
      </c>
    </row>
    <row r="1219" spans="1:2" x14ac:dyDescent="0.3">
      <c r="A1219" s="42">
        <v>2724</v>
      </c>
      <c r="B1219" s="41" t="s">
        <v>1259</v>
      </c>
    </row>
    <row r="1220" spans="1:2" x14ac:dyDescent="0.3">
      <c r="A1220" s="42">
        <v>2725</v>
      </c>
      <c r="B1220" s="41" t="s">
        <v>1260</v>
      </c>
    </row>
    <row r="1221" spans="1:2" x14ac:dyDescent="0.3">
      <c r="A1221" s="42">
        <v>2726</v>
      </c>
      <c r="B1221" s="41" t="s">
        <v>1261</v>
      </c>
    </row>
    <row r="1222" spans="1:2" x14ac:dyDescent="0.3">
      <c r="A1222" s="42">
        <v>2727</v>
      </c>
      <c r="B1222" s="41" t="s">
        <v>1262</v>
      </c>
    </row>
    <row r="1223" spans="1:2" x14ac:dyDescent="0.3">
      <c r="A1223" s="42">
        <v>2728</v>
      </c>
      <c r="B1223" s="41" t="s">
        <v>1263</v>
      </c>
    </row>
    <row r="1224" spans="1:2" x14ac:dyDescent="0.3">
      <c r="A1224" s="42">
        <v>2729</v>
      </c>
      <c r="B1224" s="41" t="s">
        <v>1264</v>
      </c>
    </row>
    <row r="1225" spans="1:2" x14ac:dyDescent="0.3">
      <c r="A1225" s="42">
        <v>2730</v>
      </c>
      <c r="B1225" s="41" t="s">
        <v>1265</v>
      </c>
    </row>
    <row r="1226" spans="1:2" x14ac:dyDescent="0.3">
      <c r="A1226" s="42">
        <v>2731</v>
      </c>
      <c r="B1226" s="41" t="s">
        <v>1266</v>
      </c>
    </row>
    <row r="1227" spans="1:2" x14ac:dyDescent="0.3">
      <c r="A1227" s="42">
        <v>2732</v>
      </c>
      <c r="B1227" s="41" t="s">
        <v>1267</v>
      </c>
    </row>
    <row r="1228" spans="1:2" x14ac:dyDescent="0.3">
      <c r="A1228" s="42">
        <v>2733</v>
      </c>
      <c r="B1228" s="40" t="s">
        <v>1268</v>
      </c>
    </row>
    <row r="1229" spans="1:2" x14ac:dyDescent="0.3">
      <c r="A1229" s="42">
        <v>2734</v>
      </c>
      <c r="B1229" s="40" t="s">
        <v>1269</v>
      </c>
    </row>
    <row r="1230" spans="1:2" x14ac:dyDescent="0.3">
      <c r="A1230" s="42">
        <v>2735</v>
      </c>
      <c r="B1230" s="40" t="s">
        <v>1270</v>
      </c>
    </row>
    <row r="1231" spans="1:2" x14ac:dyDescent="0.3">
      <c r="A1231" s="42">
        <v>2736</v>
      </c>
      <c r="B1231" s="40" t="s">
        <v>1271</v>
      </c>
    </row>
    <row r="1232" spans="1:2" x14ac:dyDescent="0.3">
      <c r="A1232" s="42">
        <v>2739</v>
      </c>
      <c r="B1232" s="40" t="s">
        <v>1272</v>
      </c>
    </row>
    <row r="1233" spans="1:2" x14ac:dyDescent="0.3">
      <c r="A1233" s="42">
        <v>2740</v>
      </c>
      <c r="B1233" s="40" t="s">
        <v>1273</v>
      </c>
    </row>
    <row r="1234" spans="1:2" x14ac:dyDescent="0.3">
      <c r="A1234" s="42">
        <v>2741</v>
      </c>
      <c r="B1234" s="41" t="s">
        <v>1274</v>
      </c>
    </row>
    <row r="1235" spans="1:2" x14ac:dyDescent="0.3">
      <c r="A1235" s="42">
        <v>2742</v>
      </c>
      <c r="B1235" s="41" t="s">
        <v>1275</v>
      </c>
    </row>
    <row r="1236" spans="1:2" x14ac:dyDescent="0.3">
      <c r="A1236" s="42">
        <v>2743</v>
      </c>
      <c r="B1236" s="41" t="s">
        <v>1276</v>
      </c>
    </row>
    <row r="1237" spans="1:2" x14ac:dyDescent="0.3">
      <c r="A1237" s="42">
        <v>2744</v>
      </c>
      <c r="B1237" s="41" t="s">
        <v>1277</v>
      </c>
    </row>
    <row r="1238" spans="1:2" x14ac:dyDescent="0.3">
      <c r="A1238" s="42">
        <v>2745</v>
      </c>
      <c r="B1238" s="41" t="s">
        <v>1278</v>
      </c>
    </row>
    <row r="1239" spans="1:2" x14ac:dyDescent="0.3">
      <c r="A1239" s="42">
        <v>2746</v>
      </c>
      <c r="B1239" s="41" t="s">
        <v>1279</v>
      </c>
    </row>
    <row r="1240" spans="1:2" x14ac:dyDescent="0.3">
      <c r="A1240" s="42">
        <v>2747</v>
      </c>
      <c r="B1240" s="41" t="s">
        <v>1280</v>
      </c>
    </row>
    <row r="1241" spans="1:2" x14ac:dyDescent="0.3">
      <c r="A1241" s="42">
        <v>2748</v>
      </c>
      <c r="B1241" s="41" t="s">
        <v>1281</v>
      </c>
    </row>
    <row r="1242" spans="1:2" x14ac:dyDescent="0.3">
      <c r="A1242" s="42">
        <v>2749</v>
      </c>
      <c r="B1242" s="41" t="s">
        <v>1282</v>
      </c>
    </row>
    <row r="1243" spans="1:2" x14ac:dyDescent="0.3">
      <c r="A1243" s="42">
        <v>2750</v>
      </c>
      <c r="B1243" s="41" t="s">
        <v>1283</v>
      </c>
    </row>
    <row r="1244" spans="1:2" x14ac:dyDescent="0.3">
      <c r="A1244" s="42">
        <v>2751</v>
      </c>
      <c r="B1244" s="41" t="s">
        <v>1284</v>
      </c>
    </row>
    <row r="1245" spans="1:2" x14ac:dyDescent="0.3">
      <c r="A1245" s="42">
        <v>2753</v>
      </c>
      <c r="B1245" s="40" t="s">
        <v>1340</v>
      </c>
    </row>
    <row r="1246" spans="1:2" x14ac:dyDescent="0.3">
      <c r="A1246" s="42">
        <v>2754</v>
      </c>
      <c r="B1246" s="41" t="s">
        <v>1285</v>
      </c>
    </row>
    <row r="1247" spans="1:2" x14ac:dyDescent="0.3">
      <c r="A1247" s="42">
        <v>2759</v>
      </c>
      <c r="B1247" s="41" t="s">
        <v>1286</v>
      </c>
    </row>
    <row r="1248" spans="1:2" x14ac:dyDescent="0.3">
      <c r="A1248" s="42">
        <v>2760</v>
      </c>
      <c r="B1248" s="41" t="s">
        <v>1287</v>
      </c>
    </row>
    <row r="1249" spans="1:2" x14ac:dyDescent="0.3">
      <c r="A1249" s="42">
        <v>2761</v>
      </c>
      <c r="B1249" s="41" t="s">
        <v>1288</v>
      </c>
    </row>
    <row r="1250" spans="1:2" x14ac:dyDescent="0.3">
      <c r="A1250" s="42">
        <v>2762</v>
      </c>
      <c r="B1250" s="41" t="s">
        <v>1289</v>
      </c>
    </row>
    <row r="1251" spans="1:2" x14ac:dyDescent="0.3">
      <c r="A1251" s="42">
        <v>2763</v>
      </c>
      <c r="B1251" s="41" t="s">
        <v>1290</v>
      </c>
    </row>
    <row r="1252" spans="1:2" x14ac:dyDescent="0.3">
      <c r="A1252" s="42">
        <v>2764</v>
      </c>
      <c r="B1252" s="41" t="s">
        <v>1291</v>
      </c>
    </row>
    <row r="1253" spans="1:2" x14ac:dyDescent="0.3">
      <c r="A1253" s="42">
        <v>2765</v>
      </c>
      <c r="B1253" s="41" t="s">
        <v>1292</v>
      </c>
    </row>
    <row r="1254" spans="1:2" x14ac:dyDescent="0.3">
      <c r="A1254" s="42">
        <v>2766</v>
      </c>
      <c r="B1254" s="41" t="s">
        <v>1293</v>
      </c>
    </row>
    <row r="1255" spans="1:2" x14ac:dyDescent="0.3">
      <c r="A1255" s="42">
        <v>2767</v>
      </c>
      <c r="B1255" s="41" t="s">
        <v>1294</v>
      </c>
    </row>
    <row r="1256" spans="1:2" x14ac:dyDescent="0.3">
      <c r="A1256" s="42">
        <v>2768</v>
      </c>
      <c r="B1256" s="41" t="s">
        <v>1295</v>
      </c>
    </row>
    <row r="1257" spans="1:2" x14ac:dyDescent="0.3">
      <c r="A1257" s="42">
        <v>2769</v>
      </c>
      <c r="B1257" s="41" t="s">
        <v>1296</v>
      </c>
    </row>
    <row r="1258" spans="1:2" x14ac:dyDescent="0.3">
      <c r="A1258" s="42">
        <v>2775</v>
      </c>
      <c r="B1258" s="41" t="s">
        <v>1297</v>
      </c>
    </row>
    <row r="1259" spans="1:2" x14ac:dyDescent="0.3">
      <c r="A1259" s="42">
        <v>2777</v>
      </c>
      <c r="B1259" s="40" t="s">
        <v>1298</v>
      </c>
    </row>
    <row r="1260" spans="1:2" x14ac:dyDescent="0.3">
      <c r="A1260" s="42">
        <v>2778</v>
      </c>
      <c r="B1260" s="41" t="s">
        <v>1299</v>
      </c>
    </row>
    <row r="1261" spans="1:2" x14ac:dyDescent="0.3">
      <c r="A1261" s="42">
        <v>2779</v>
      </c>
      <c r="B1261" s="41" t="s">
        <v>1300</v>
      </c>
    </row>
    <row r="1262" spans="1:2" x14ac:dyDescent="0.3">
      <c r="A1262" s="42">
        <v>2780</v>
      </c>
      <c r="B1262" s="41" t="s">
        <v>1301</v>
      </c>
    </row>
    <row r="1263" spans="1:2" x14ac:dyDescent="0.3">
      <c r="A1263" s="42">
        <v>2781</v>
      </c>
      <c r="B1263" s="41" t="s">
        <v>1302</v>
      </c>
    </row>
    <row r="1264" spans="1:2" x14ac:dyDescent="0.3">
      <c r="A1264" s="42">
        <v>2782</v>
      </c>
      <c r="B1264" s="41" t="s">
        <v>1303</v>
      </c>
    </row>
    <row r="1265" spans="1:4" x14ac:dyDescent="0.3">
      <c r="A1265" s="42">
        <v>2784</v>
      </c>
      <c r="B1265" s="41" t="s">
        <v>1304</v>
      </c>
    </row>
    <row r="1266" spans="1:4" x14ac:dyDescent="0.3">
      <c r="A1266" s="42">
        <v>2799</v>
      </c>
      <c r="B1266" s="41" t="s">
        <v>1305</v>
      </c>
    </row>
    <row r="1267" spans="1:4" x14ac:dyDescent="0.3">
      <c r="A1267" s="42">
        <v>2802</v>
      </c>
      <c r="B1267" s="41" t="s">
        <v>1306</v>
      </c>
    </row>
    <row r="1268" spans="1:4" x14ac:dyDescent="0.3">
      <c r="A1268" s="42">
        <v>2805</v>
      </c>
      <c r="B1268" s="41" t="s">
        <v>1307</v>
      </c>
    </row>
    <row r="1269" spans="1:4" x14ac:dyDescent="0.3">
      <c r="A1269" s="42">
        <v>2815</v>
      </c>
      <c r="B1269" s="40" t="s">
        <v>1341</v>
      </c>
    </row>
    <row r="1270" spans="1:4" x14ac:dyDescent="0.3">
      <c r="A1270" s="42">
        <v>2816</v>
      </c>
      <c r="B1270" s="40" t="s">
        <v>1342</v>
      </c>
    </row>
    <row r="1271" spans="1:4" x14ac:dyDescent="0.3">
      <c r="A1271" s="42">
        <v>2817</v>
      </c>
      <c r="B1271" s="40" t="s">
        <v>1343</v>
      </c>
    </row>
    <row r="1272" spans="1:4" x14ac:dyDescent="0.3">
      <c r="A1272" s="42">
        <v>2819</v>
      </c>
      <c r="B1272" s="40" t="s">
        <v>1344</v>
      </c>
    </row>
    <row r="1273" spans="1:4" x14ac:dyDescent="0.3">
      <c r="A1273" s="42">
        <v>2820</v>
      </c>
      <c r="B1273" s="40" t="s">
        <v>1423</v>
      </c>
    </row>
    <row r="1274" spans="1:4" x14ac:dyDescent="0.3">
      <c r="A1274" s="42">
        <v>2822</v>
      </c>
      <c r="B1274" s="40" t="s">
        <v>1345</v>
      </c>
    </row>
    <row r="1275" spans="1:4" x14ac:dyDescent="0.3">
      <c r="A1275" s="42">
        <v>2824</v>
      </c>
      <c r="B1275" s="40" t="s">
        <v>1346</v>
      </c>
    </row>
    <row r="1276" spans="1:4" x14ac:dyDescent="0.3">
      <c r="A1276" s="42">
        <v>2826</v>
      </c>
      <c r="B1276" s="40" t="s">
        <v>1308</v>
      </c>
    </row>
    <row r="1277" spans="1:4" x14ac:dyDescent="0.3">
      <c r="A1277" s="42">
        <v>2827</v>
      </c>
      <c r="B1277" s="40" t="s">
        <v>1347</v>
      </c>
      <c r="C1277" s="36"/>
      <c r="D1277" s="40"/>
    </row>
    <row r="1278" spans="1:4" x14ac:dyDescent="0.3">
      <c r="A1278" s="42">
        <v>2828</v>
      </c>
      <c r="B1278" s="40" t="s">
        <v>1348</v>
      </c>
      <c r="C1278" s="36"/>
      <c r="D1278" s="40"/>
    </row>
    <row r="1279" spans="1:4" x14ac:dyDescent="0.3">
      <c r="A1279" s="42">
        <v>2834</v>
      </c>
      <c r="B1279" s="40" t="s">
        <v>1349</v>
      </c>
      <c r="C1279" s="36"/>
      <c r="D1279" s="40"/>
    </row>
    <row r="1280" spans="1:4" x14ac:dyDescent="0.3">
      <c r="A1280" s="42">
        <v>2836</v>
      </c>
      <c r="B1280" s="40" t="s">
        <v>1350</v>
      </c>
      <c r="C1280" s="36"/>
      <c r="D1280" s="40"/>
    </row>
    <row r="1281" spans="1:4" x14ac:dyDescent="0.3">
      <c r="A1281" s="42">
        <v>2839</v>
      </c>
      <c r="B1281" s="40" t="s">
        <v>1351</v>
      </c>
      <c r="C1281" s="36"/>
      <c r="D1281" s="40"/>
    </row>
    <row r="1282" spans="1:4" x14ac:dyDescent="0.3">
      <c r="A1282" s="42">
        <v>2840</v>
      </c>
      <c r="B1282" s="40" t="s">
        <v>1384</v>
      </c>
      <c r="C1282" s="36"/>
      <c r="D1282" s="40"/>
    </row>
    <row r="1283" spans="1:4" x14ac:dyDescent="0.3">
      <c r="A1283" s="42">
        <v>2843</v>
      </c>
      <c r="B1283" s="40" t="s">
        <v>1309</v>
      </c>
    </row>
    <row r="1284" spans="1:4" x14ac:dyDescent="0.3">
      <c r="A1284" s="42">
        <v>2845</v>
      </c>
      <c r="B1284" s="40" t="s">
        <v>1352</v>
      </c>
      <c r="C1284" s="36"/>
      <c r="D1284" s="40"/>
    </row>
    <row r="1285" spans="1:4" x14ac:dyDescent="0.3">
      <c r="A1285" s="42">
        <v>2848</v>
      </c>
      <c r="B1285" s="40" t="s">
        <v>1353</v>
      </c>
      <c r="C1285" s="36"/>
      <c r="D1285" s="40"/>
    </row>
    <row r="1286" spans="1:4" x14ac:dyDescent="0.3">
      <c r="A1286" s="42">
        <v>2850</v>
      </c>
      <c r="B1286" s="40" t="s">
        <v>1354</v>
      </c>
      <c r="C1286" s="36"/>
      <c r="D1286" s="40"/>
    </row>
    <row r="1287" spans="1:4" x14ac:dyDescent="0.3">
      <c r="A1287" s="42">
        <v>2851</v>
      </c>
      <c r="B1287" s="40" t="s">
        <v>1383</v>
      </c>
      <c r="C1287" s="36"/>
      <c r="D1287" s="40"/>
    </row>
    <row r="1288" spans="1:4" x14ac:dyDescent="0.3">
      <c r="A1288" s="42">
        <v>3002</v>
      </c>
      <c r="B1288" s="40" t="s">
        <v>1355</v>
      </c>
      <c r="C1288" s="36"/>
      <c r="D1288" s="40"/>
    </row>
    <row r="1289" spans="1:4" x14ac:dyDescent="0.3">
      <c r="A1289" s="42">
        <v>3004</v>
      </c>
      <c r="B1289" s="40" t="s">
        <v>1356</v>
      </c>
      <c r="C1289" s="36"/>
      <c r="D1289" s="40"/>
    </row>
    <row r="1290" spans="1:4" x14ac:dyDescent="0.3">
      <c r="A1290" s="42">
        <v>3005</v>
      </c>
      <c r="B1290" s="40" t="s">
        <v>1357</v>
      </c>
      <c r="C1290" s="36"/>
      <c r="D1290" s="40"/>
    </row>
    <row r="1291" spans="1:4" x14ac:dyDescent="0.3">
      <c r="A1291" s="42">
        <v>3010</v>
      </c>
      <c r="B1291" s="40" t="s">
        <v>1358</v>
      </c>
      <c r="C1291" s="36"/>
      <c r="D1291" s="40"/>
    </row>
    <row r="1292" spans="1:4" x14ac:dyDescent="0.3">
      <c r="A1292" s="42">
        <v>3011</v>
      </c>
      <c r="B1292" s="40" t="s">
        <v>1359</v>
      </c>
      <c r="C1292" s="36"/>
      <c r="D1292" s="40"/>
    </row>
    <row r="1293" spans="1:4" x14ac:dyDescent="0.3">
      <c r="A1293" s="42">
        <v>3014</v>
      </c>
      <c r="B1293" s="40" t="s">
        <v>1339</v>
      </c>
    </row>
    <row r="1294" spans="1:4" x14ac:dyDescent="0.3">
      <c r="A1294" s="42">
        <v>3015</v>
      </c>
      <c r="B1294" s="40" t="s">
        <v>1360</v>
      </c>
      <c r="C1294" s="36"/>
      <c r="D1294" s="40"/>
    </row>
    <row r="1295" spans="1:4" x14ac:dyDescent="0.3">
      <c r="A1295" s="42">
        <v>3017</v>
      </c>
      <c r="B1295" s="40" t="s">
        <v>1361</v>
      </c>
      <c r="C1295" s="36"/>
      <c r="D1295" s="40"/>
    </row>
    <row r="1296" spans="1:4" x14ac:dyDescent="0.3">
      <c r="A1296" s="42">
        <v>4000</v>
      </c>
      <c r="B1296" s="40" t="s">
        <v>1310</v>
      </c>
    </row>
    <row r="1297" spans="1:4" x14ac:dyDescent="0.3">
      <c r="A1297" s="42">
        <v>4001</v>
      </c>
      <c r="B1297" s="40" t="s">
        <v>1311</v>
      </c>
    </row>
    <row r="1298" spans="1:4" x14ac:dyDescent="0.3">
      <c r="A1298" s="42">
        <v>4002</v>
      </c>
      <c r="B1298" s="40" t="s">
        <v>1312</v>
      </c>
    </row>
    <row r="1299" spans="1:4" x14ac:dyDescent="0.3">
      <c r="A1299" s="42">
        <v>4003</v>
      </c>
      <c r="B1299" s="40" t="s">
        <v>1333</v>
      </c>
    </row>
    <row r="1300" spans="1:4" x14ac:dyDescent="0.3">
      <c r="A1300" s="42">
        <v>4004</v>
      </c>
      <c r="B1300" s="40" t="s">
        <v>1313</v>
      </c>
    </row>
    <row r="1301" spans="1:4" x14ac:dyDescent="0.3">
      <c r="A1301" s="42">
        <v>4005</v>
      </c>
      <c r="B1301" s="40" t="s">
        <v>1314</v>
      </c>
    </row>
    <row r="1302" spans="1:4" x14ac:dyDescent="0.3">
      <c r="A1302" s="42">
        <v>4007</v>
      </c>
      <c r="B1302" s="40" t="s">
        <v>1315</v>
      </c>
    </row>
    <row r="1303" spans="1:4" x14ac:dyDescent="0.3">
      <c r="A1303" s="42">
        <v>4008</v>
      </c>
      <c r="B1303" s="40" t="s">
        <v>1316</v>
      </c>
    </row>
    <row r="1304" spans="1:4" x14ac:dyDescent="0.3">
      <c r="A1304" s="42">
        <v>4009</v>
      </c>
      <c r="B1304" s="40" t="s">
        <v>1362</v>
      </c>
      <c r="C1304" s="36"/>
      <c r="D1304" s="40"/>
    </row>
    <row r="1305" spans="1:4" x14ac:dyDescent="0.3">
      <c r="A1305" s="42">
        <v>4011</v>
      </c>
      <c r="B1305" s="40" t="s">
        <v>1363</v>
      </c>
      <c r="C1305" s="36"/>
      <c r="D1305" s="40"/>
    </row>
    <row r="1306" spans="1:4" x14ac:dyDescent="0.3">
      <c r="A1306" s="42">
        <v>4012</v>
      </c>
      <c r="B1306" s="40" t="s">
        <v>1364</v>
      </c>
      <c r="C1306" s="36"/>
      <c r="D1306" s="40"/>
    </row>
    <row r="1307" spans="1:4" x14ac:dyDescent="0.3">
      <c r="A1307" s="42">
        <v>4013</v>
      </c>
      <c r="B1307" s="40" t="s">
        <v>1365</v>
      </c>
      <c r="C1307" s="36"/>
      <c r="D1307" s="40"/>
    </row>
    <row r="1308" spans="1:4" x14ac:dyDescent="0.3">
      <c r="A1308" s="42">
        <v>4014</v>
      </c>
      <c r="B1308" s="40" t="s">
        <v>1366</v>
      </c>
      <c r="C1308" s="36"/>
      <c r="D1308" s="40"/>
    </row>
    <row r="1309" spans="1:4" x14ac:dyDescent="0.3">
      <c r="A1309" s="42">
        <v>4015</v>
      </c>
      <c r="B1309" s="40" t="s">
        <v>1367</v>
      </c>
      <c r="C1309" s="36"/>
      <c r="D1309" s="40"/>
    </row>
    <row r="1310" spans="1:4" x14ac:dyDescent="0.3">
      <c r="A1310" s="42">
        <v>4016</v>
      </c>
      <c r="B1310" s="40" t="s">
        <v>1368</v>
      </c>
      <c r="C1310" s="36"/>
      <c r="D1310" s="40"/>
    </row>
    <row r="1311" spans="1:4" x14ac:dyDescent="0.3">
      <c r="A1311" s="42">
        <v>4018</v>
      </c>
      <c r="B1311" s="40" t="s">
        <v>1369</v>
      </c>
      <c r="C1311" s="36"/>
      <c r="D1311" s="40"/>
    </row>
    <row r="1312" spans="1:4" x14ac:dyDescent="0.3">
      <c r="A1312" s="42">
        <v>4019</v>
      </c>
      <c r="B1312" s="40" t="s">
        <v>1385</v>
      </c>
      <c r="C1312" s="36"/>
      <c r="D1312" s="40"/>
    </row>
    <row r="1313" spans="1:4" x14ac:dyDescent="0.3">
      <c r="A1313" s="42">
        <v>4023</v>
      </c>
      <c r="B1313" s="40" t="s">
        <v>1370</v>
      </c>
      <c r="C1313" s="36"/>
      <c r="D1313" s="40"/>
    </row>
    <row r="1314" spans="1:4" x14ac:dyDescent="0.3">
      <c r="A1314" s="42">
        <v>4024</v>
      </c>
      <c r="B1314" s="40" t="s">
        <v>1371</v>
      </c>
      <c r="C1314" s="36"/>
      <c r="D1314" s="40"/>
    </row>
    <row r="1315" spans="1:4" x14ac:dyDescent="0.3">
      <c r="A1315" s="42">
        <v>4025</v>
      </c>
      <c r="B1315" s="40" t="s">
        <v>1133</v>
      </c>
      <c r="C1315" s="36"/>
      <c r="D1315" s="40"/>
    </row>
    <row r="1316" spans="1:4" x14ac:dyDescent="0.3">
      <c r="A1316" s="42">
        <v>4036</v>
      </c>
      <c r="B1316" s="40" t="s">
        <v>1372</v>
      </c>
      <c r="C1316" s="36"/>
      <c r="D1316" s="40"/>
    </row>
    <row r="1317" spans="1:4" x14ac:dyDescent="0.3">
      <c r="A1317" s="42">
        <v>4037</v>
      </c>
      <c r="B1317" s="40" t="s">
        <v>1377</v>
      </c>
      <c r="C1317" s="36"/>
      <c r="D1317" s="40"/>
    </row>
    <row r="1318" spans="1:4" x14ac:dyDescent="0.3">
      <c r="A1318" s="42">
        <v>4038</v>
      </c>
      <c r="B1318" s="40" t="s">
        <v>1376</v>
      </c>
      <c r="C1318" s="36"/>
      <c r="D1318" s="40"/>
    </row>
    <row r="1319" spans="1:4" x14ac:dyDescent="0.3">
      <c r="A1319" s="42">
        <v>4039</v>
      </c>
      <c r="B1319" s="40" t="s">
        <v>1387</v>
      </c>
      <c r="C1319" s="36"/>
      <c r="D1319" s="40"/>
    </row>
    <row r="1320" spans="1:4" x14ac:dyDescent="0.3">
      <c r="A1320" s="42">
        <v>4040</v>
      </c>
      <c r="B1320" s="40" t="s">
        <v>1388</v>
      </c>
      <c r="C1320" s="36"/>
      <c r="D1320" s="40"/>
    </row>
    <row r="1321" spans="1:4" x14ac:dyDescent="0.3">
      <c r="A1321" s="42">
        <v>4041</v>
      </c>
      <c r="B1321" s="40" t="s">
        <v>1389</v>
      </c>
      <c r="C1321" s="36"/>
      <c r="D1321" s="40"/>
    </row>
    <row r="1322" spans="1:4" x14ac:dyDescent="0.3">
      <c r="A1322" s="42">
        <v>4042</v>
      </c>
      <c r="B1322" s="40" t="s">
        <v>1390</v>
      </c>
      <c r="C1322" s="36"/>
      <c r="D1322" s="40"/>
    </row>
    <row r="1323" spans="1:4" x14ac:dyDescent="0.3">
      <c r="A1323" s="42">
        <v>4043</v>
      </c>
      <c r="B1323" s="40" t="s">
        <v>1391</v>
      </c>
      <c r="C1323" s="36"/>
      <c r="D1323" s="40"/>
    </row>
    <row r="1324" spans="1:4" x14ac:dyDescent="0.3">
      <c r="A1324" s="42">
        <v>4044</v>
      </c>
      <c r="B1324" s="40" t="s">
        <v>1392</v>
      </c>
      <c r="C1324" s="36"/>
      <c r="D1324" s="40"/>
    </row>
    <row r="1325" spans="1:4" x14ac:dyDescent="0.3">
      <c r="A1325" s="42">
        <v>4045</v>
      </c>
      <c r="B1325" s="40" t="s">
        <v>1393</v>
      </c>
      <c r="C1325" s="36"/>
      <c r="D1325" s="40"/>
    </row>
    <row r="1326" spans="1:4" x14ac:dyDescent="0.3">
      <c r="A1326" s="42">
        <v>4046</v>
      </c>
      <c r="B1326" s="40" t="s">
        <v>1394</v>
      </c>
      <c r="C1326" s="36"/>
      <c r="D1326" s="40"/>
    </row>
    <row r="1327" spans="1:4" x14ac:dyDescent="0.3">
      <c r="A1327" s="42">
        <v>4047</v>
      </c>
      <c r="B1327" s="40" t="s">
        <v>1395</v>
      </c>
      <c r="C1327" s="36"/>
      <c r="D1327" s="40"/>
    </row>
    <row r="1328" spans="1:4" x14ac:dyDescent="0.3">
      <c r="A1328" s="42">
        <v>4048</v>
      </c>
      <c r="B1328" s="40" t="s">
        <v>1396</v>
      </c>
      <c r="C1328" s="36"/>
      <c r="D1328" s="40"/>
    </row>
    <row r="1329" spans="1:4" x14ac:dyDescent="0.3">
      <c r="A1329" s="42">
        <v>4049</v>
      </c>
      <c r="B1329" s="40" t="s">
        <v>1397</v>
      </c>
      <c r="C1329" s="36"/>
      <c r="D1329" s="40"/>
    </row>
    <row r="1330" spans="1:4" x14ac:dyDescent="0.3">
      <c r="A1330" s="42">
        <v>4050</v>
      </c>
      <c r="B1330" s="40" t="s">
        <v>1398</v>
      </c>
      <c r="C1330" s="36"/>
      <c r="D1330" s="40"/>
    </row>
    <row r="1331" spans="1:4" x14ac:dyDescent="0.3">
      <c r="A1331" s="42">
        <v>4051</v>
      </c>
      <c r="B1331" s="40" t="s">
        <v>1399</v>
      </c>
      <c r="C1331" s="36"/>
      <c r="D1331" s="40"/>
    </row>
    <row r="1332" spans="1:4" x14ac:dyDescent="0.3">
      <c r="A1332" s="42">
        <v>4052</v>
      </c>
      <c r="B1332" s="40" t="s">
        <v>1400</v>
      </c>
      <c r="C1332" s="36"/>
      <c r="D1332" s="40"/>
    </row>
    <row r="1333" spans="1:4" x14ac:dyDescent="0.3">
      <c r="A1333" s="42">
        <v>4053</v>
      </c>
      <c r="B1333" s="40" t="s">
        <v>1401</v>
      </c>
      <c r="C1333" s="36"/>
      <c r="D1333" s="40"/>
    </row>
    <row r="1334" spans="1:4" x14ac:dyDescent="0.3">
      <c r="A1334" s="42">
        <v>4054</v>
      </c>
      <c r="B1334" s="40" t="s">
        <v>1402</v>
      </c>
      <c r="C1334" s="36"/>
      <c r="D1334" s="40"/>
    </row>
    <row r="1335" spans="1:4" x14ac:dyDescent="0.3">
      <c r="A1335" s="42">
        <v>4055</v>
      </c>
      <c r="B1335" s="40" t="s">
        <v>1403</v>
      </c>
      <c r="C1335" s="36"/>
      <c r="D1335" s="40"/>
    </row>
    <row r="1336" spans="1:4" x14ac:dyDescent="0.3">
      <c r="A1336" s="42">
        <v>4056</v>
      </c>
      <c r="B1336" s="40" t="s">
        <v>1404</v>
      </c>
      <c r="C1336" s="36"/>
      <c r="D1336" s="40"/>
    </row>
    <row r="1337" spans="1:4" x14ac:dyDescent="0.3">
      <c r="A1337" s="42">
        <v>4057</v>
      </c>
      <c r="B1337" s="40" t="s">
        <v>1007</v>
      </c>
      <c r="C1337" s="36"/>
      <c r="D1337" s="40"/>
    </row>
    <row r="1338" spans="1:4" x14ac:dyDescent="0.3">
      <c r="A1338" s="42">
        <v>4058</v>
      </c>
      <c r="B1338" s="40" t="s">
        <v>1405</v>
      </c>
      <c r="C1338" s="36"/>
      <c r="D1338" s="40"/>
    </row>
    <row r="1339" spans="1:4" x14ac:dyDescent="0.3">
      <c r="A1339" s="42">
        <v>4059</v>
      </c>
      <c r="B1339" s="40" t="s">
        <v>1406</v>
      </c>
      <c r="C1339" s="36"/>
      <c r="D1339" s="40"/>
    </row>
    <row r="1340" spans="1:4" x14ac:dyDescent="0.3">
      <c r="A1340" s="42">
        <v>4060</v>
      </c>
      <c r="B1340" s="40" t="s">
        <v>1407</v>
      </c>
      <c r="C1340" s="36"/>
      <c r="D1340" s="40"/>
    </row>
    <row r="1341" spans="1:4" x14ac:dyDescent="0.3">
      <c r="A1341" s="42">
        <v>4061</v>
      </c>
      <c r="B1341" s="40" t="s">
        <v>1011</v>
      </c>
      <c r="C1341" s="36"/>
      <c r="D1341" s="40"/>
    </row>
    <row r="1342" spans="1:4" x14ac:dyDescent="0.3">
      <c r="A1342" s="42">
        <v>4062</v>
      </c>
      <c r="B1342" s="40" t="s">
        <v>1408</v>
      </c>
      <c r="C1342" s="36"/>
      <c r="D1342" s="40"/>
    </row>
    <row r="1343" spans="1:4" x14ac:dyDescent="0.3">
      <c r="A1343" s="42">
        <v>4063</v>
      </c>
      <c r="B1343" s="40" t="s">
        <v>1409</v>
      </c>
      <c r="C1343" s="36"/>
      <c r="D1343" s="40"/>
    </row>
    <row r="1344" spans="1:4" x14ac:dyDescent="0.3">
      <c r="A1344" s="42">
        <v>4064</v>
      </c>
      <c r="B1344" s="40" t="s">
        <v>1410</v>
      </c>
      <c r="C1344" s="36"/>
      <c r="D1344" s="40"/>
    </row>
    <row r="1345" spans="1:4" x14ac:dyDescent="0.3">
      <c r="A1345" s="42">
        <v>4065</v>
      </c>
      <c r="B1345" s="40" t="s">
        <v>1411</v>
      </c>
      <c r="C1345" s="36"/>
      <c r="D1345" s="40"/>
    </row>
    <row r="1346" spans="1:4" x14ac:dyDescent="0.3">
      <c r="A1346" s="42">
        <v>4066</v>
      </c>
      <c r="B1346" s="40" t="s">
        <v>1412</v>
      </c>
      <c r="C1346" s="36"/>
      <c r="D1346" s="40"/>
    </row>
    <row r="1347" spans="1:4" x14ac:dyDescent="0.3">
      <c r="A1347" s="42">
        <v>4067</v>
      </c>
      <c r="B1347" s="40" t="s">
        <v>1413</v>
      </c>
      <c r="C1347" s="36"/>
      <c r="D1347" s="40"/>
    </row>
    <row r="1348" spans="1:4" x14ac:dyDescent="0.3">
      <c r="A1348" s="42">
        <v>4068</v>
      </c>
      <c r="B1348" s="40" t="s">
        <v>1414</v>
      </c>
      <c r="C1348" s="36"/>
      <c r="D1348" s="40"/>
    </row>
    <row r="1349" spans="1:4" x14ac:dyDescent="0.3">
      <c r="A1349" s="42">
        <v>4069</v>
      </c>
      <c r="B1349" s="40" t="s">
        <v>1415</v>
      </c>
      <c r="C1349" s="36"/>
      <c r="D1349" s="40"/>
    </row>
    <row r="1350" spans="1:4" x14ac:dyDescent="0.3">
      <c r="A1350" s="42">
        <v>4070</v>
      </c>
      <c r="B1350" s="40" t="s">
        <v>1416</v>
      </c>
      <c r="C1350" s="36"/>
      <c r="D1350" s="40"/>
    </row>
    <row r="1351" spans="1:4" x14ac:dyDescent="0.3">
      <c r="A1351" s="42">
        <v>4071</v>
      </c>
      <c r="B1351" s="40" t="s">
        <v>1426</v>
      </c>
      <c r="C1351" s="36"/>
      <c r="D1351" s="40"/>
    </row>
    <row r="1352" spans="1:4" x14ac:dyDescent="0.3">
      <c r="A1352" s="42">
        <v>4072</v>
      </c>
      <c r="B1352" s="40" t="s">
        <v>1427</v>
      </c>
      <c r="C1352" s="36"/>
      <c r="D1352" s="40"/>
    </row>
    <row r="1353" spans="1:4" x14ac:dyDescent="0.3">
      <c r="A1353" s="42">
        <v>4073</v>
      </c>
      <c r="B1353" s="40" t="s">
        <v>1456</v>
      </c>
      <c r="C1353" s="36"/>
      <c r="D1353" s="40"/>
    </row>
    <row r="1354" spans="1:4" x14ac:dyDescent="0.3">
      <c r="A1354" s="42">
        <v>4074</v>
      </c>
      <c r="B1354" s="40" t="s">
        <v>1457</v>
      </c>
      <c r="C1354" s="36"/>
      <c r="D1354" s="40"/>
    </row>
    <row r="1355" spans="1:4" x14ac:dyDescent="0.3">
      <c r="A1355" s="42">
        <v>4075</v>
      </c>
      <c r="B1355" s="40" t="s">
        <v>1458</v>
      </c>
      <c r="C1355" s="36"/>
      <c r="D1355" s="40"/>
    </row>
    <row r="1356" spans="1:4" x14ac:dyDescent="0.3">
      <c r="A1356" s="42">
        <v>4076</v>
      </c>
      <c r="B1356" s="40" t="s">
        <v>1459</v>
      </c>
      <c r="C1356" s="36"/>
      <c r="D1356" s="40"/>
    </row>
    <row r="1357" spans="1:4" x14ac:dyDescent="0.3">
      <c r="A1357" s="42">
        <v>4077</v>
      </c>
      <c r="B1357" s="40" t="s">
        <v>1100</v>
      </c>
      <c r="C1357" s="36"/>
      <c r="D1357" s="40"/>
    </row>
    <row r="1358" spans="1:4" x14ac:dyDescent="0.3">
      <c r="A1358" s="42">
        <v>4078</v>
      </c>
      <c r="B1358" s="40" t="s">
        <v>1460</v>
      </c>
      <c r="C1358" s="36"/>
      <c r="D1358" s="40"/>
    </row>
    <row r="1359" spans="1:4" x14ac:dyDescent="0.3">
      <c r="A1359" s="42">
        <v>4079</v>
      </c>
      <c r="B1359" s="40" t="s">
        <v>1461</v>
      </c>
      <c r="C1359" s="36"/>
      <c r="D1359" s="40"/>
    </row>
    <row r="1360" spans="1:4" x14ac:dyDescent="0.3">
      <c r="A1360" s="42">
        <v>4080</v>
      </c>
      <c r="B1360" s="40" t="s">
        <v>1447</v>
      </c>
      <c r="C1360" s="36"/>
      <c r="D1360" s="40"/>
    </row>
    <row r="1361" spans="1:4" x14ac:dyDescent="0.3">
      <c r="A1361" s="42">
        <v>4081</v>
      </c>
      <c r="B1361" s="40" t="s">
        <v>1448</v>
      </c>
      <c r="C1361" s="36"/>
      <c r="D1361" s="40"/>
    </row>
    <row r="1362" spans="1:4" x14ac:dyDescent="0.3">
      <c r="A1362" s="42">
        <v>4082</v>
      </c>
      <c r="B1362" s="40" t="s">
        <v>1449</v>
      </c>
      <c r="C1362" s="36"/>
      <c r="D1362" s="40"/>
    </row>
    <row r="1363" spans="1:4" x14ac:dyDescent="0.3">
      <c r="A1363" s="42">
        <v>4083</v>
      </c>
      <c r="B1363" s="40" t="s">
        <v>1450</v>
      </c>
      <c r="C1363" s="36"/>
      <c r="D1363" s="40"/>
    </row>
    <row r="1364" spans="1:4" x14ac:dyDescent="0.3">
      <c r="A1364" s="42">
        <v>4084</v>
      </c>
      <c r="B1364" s="40" t="s">
        <v>1451</v>
      </c>
      <c r="C1364" s="36"/>
      <c r="D1364" s="40"/>
    </row>
    <row r="1365" spans="1:4" x14ac:dyDescent="0.3">
      <c r="A1365" s="42">
        <v>4085</v>
      </c>
      <c r="B1365" s="40" t="s">
        <v>1452</v>
      </c>
      <c r="C1365" s="36"/>
      <c r="D1365" s="40"/>
    </row>
    <row r="1366" spans="1:4" x14ac:dyDescent="0.3">
      <c r="A1366" s="42">
        <v>4086</v>
      </c>
      <c r="B1366" s="40" t="s">
        <v>1431</v>
      </c>
      <c r="C1366" s="36"/>
      <c r="D1366" s="40"/>
    </row>
    <row r="1367" spans="1:4" x14ac:dyDescent="0.3">
      <c r="A1367" s="42">
        <v>4087</v>
      </c>
      <c r="B1367" s="40" t="s">
        <v>1453</v>
      </c>
      <c r="C1367" s="36"/>
      <c r="D1367" s="40"/>
    </row>
    <row r="1368" spans="1:4" x14ac:dyDescent="0.3">
      <c r="A1368" s="42">
        <v>4088</v>
      </c>
      <c r="B1368" s="40" t="s">
        <v>1454</v>
      </c>
      <c r="C1368" s="36"/>
      <c r="D1368" s="40"/>
    </row>
    <row r="1369" spans="1:4" x14ac:dyDescent="0.3">
      <c r="A1369" s="42">
        <v>4089</v>
      </c>
      <c r="B1369" s="40" t="s">
        <v>1455</v>
      </c>
      <c r="C1369" s="36"/>
      <c r="D1369" s="40"/>
    </row>
    <row r="1370" spans="1:4" x14ac:dyDescent="0.3">
      <c r="A1370" s="42">
        <v>4090</v>
      </c>
      <c r="B1370" s="40" t="s">
        <v>1432</v>
      </c>
      <c r="C1370" s="36"/>
      <c r="D1370" s="40"/>
    </row>
    <row r="1371" spans="1:4" x14ac:dyDescent="0.3">
      <c r="A1371" s="42">
        <v>4091</v>
      </c>
      <c r="B1371" s="40" t="s">
        <v>1433</v>
      </c>
      <c r="C1371" s="36"/>
      <c r="D1371" s="40"/>
    </row>
    <row r="1372" spans="1:4" x14ac:dyDescent="0.3">
      <c r="A1372" s="42">
        <v>4092</v>
      </c>
      <c r="B1372" s="40" t="s">
        <v>1434</v>
      </c>
      <c r="C1372" s="36"/>
      <c r="D1372" s="40"/>
    </row>
    <row r="1373" spans="1:4" x14ac:dyDescent="0.3">
      <c r="A1373" s="42">
        <v>4093</v>
      </c>
      <c r="B1373" s="40" t="s">
        <v>1435</v>
      </c>
      <c r="C1373" s="36"/>
      <c r="D1373" s="40"/>
    </row>
    <row r="1374" spans="1:4" x14ac:dyDescent="0.3">
      <c r="A1374" s="42">
        <v>4094</v>
      </c>
      <c r="B1374" s="40" t="s">
        <v>1445</v>
      </c>
      <c r="C1374" s="36"/>
      <c r="D1374" s="40"/>
    </row>
    <row r="1375" spans="1:4" x14ac:dyDescent="0.3">
      <c r="A1375" s="42">
        <v>4095</v>
      </c>
      <c r="B1375" s="40" t="s">
        <v>1446</v>
      </c>
      <c r="C1375" s="36"/>
      <c r="D1375" s="40"/>
    </row>
    <row r="1376" spans="1:4" x14ac:dyDescent="0.3">
      <c r="A1376" s="42">
        <v>4096</v>
      </c>
      <c r="B1376" s="40" t="s">
        <v>1436</v>
      </c>
      <c r="C1376" s="36"/>
      <c r="D1376" s="40"/>
    </row>
    <row r="1377" spans="1:4" x14ac:dyDescent="0.3">
      <c r="A1377" s="42">
        <v>4097</v>
      </c>
      <c r="B1377" s="40" t="s">
        <v>1437</v>
      </c>
      <c r="C1377" s="36"/>
      <c r="D1377" s="40"/>
    </row>
    <row r="1378" spans="1:4" x14ac:dyDescent="0.3">
      <c r="A1378" s="42">
        <v>4098</v>
      </c>
      <c r="B1378" s="40" t="s">
        <v>1438</v>
      </c>
      <c r="C1378" s="36"/>
      <c r="D1378" s="40"/>
    </row>
    <row r="1379" spans="1:4" x14ac:dyDescent="0.3">
      <c r="A1379" s="42">
        <v>4099</v>
      </c>
      <c r="B1379" s="40" t="s">
        <v>1444</v>
      </c>
      <c r="C1379" s="36"/>
      <c r="D1379" s="40"/>
    </row>
    <row r="1380" spans="1:4" x14ac:dyDescent="0.3">
      <c r="A1380" s="42">
        <v>4100</v>
      </c>
      <c r="B1380" s="40" t="s">
        <v>1439</v>
      </c>
      <c r="C1380" s="36"/>
      <c r="D1380" s="40"/>
    </row>
    <row r="1381" spans="1:4" x14ac:dyDescent="0.3">
      <c r="A1381" s="42">
        <v>4101</v>
      </c>
      <c r="B1381" s="40" t="s">
        <v>1381</v>
      </c>
      <c r="C1381" s="36"/>
      <c r="D1381" s="40"/>
    </row>
    <row r="1382" spans="1:4" x14ac:dyDescent="0.3">
      <c r="A1382" s="42">
        <v>4102</v>
      </c>
      <c r="B1382" s="40" t="s">
        <v>725</v>
      </c>
      <c r="C1382" s="36"/>
      <c r="D1382" s="40"/>
    </row>
    <row r="1383" spans="1:4" x14ac:dyDescent="0.3">
      <c r="A1383" s="42">
        <v>4103</v>
      </c>
      <c r="B1383" s="40" t="s">
        <v>1440</v>
      </c>
      <c r="C1383" s="36"/>
      <c r="D1383" s="40"/>
    </row>
    <row r="1384" spans="1:4" x14ac:dyDescent="0.3">
      <c r="A1384" s="42">
        <v>4104</v>
      </c>
      <c r="B1384" s="40" t="s">
        <v>1441</v>
      </c>
      <c r="C1384" s="36"/>
      <c r="D1384" s="40"/>
    </row>
    <row r="1385" spans="1:4" x14ac:dyDescent="0.3">
      <c r="A1385" s="42">
        <v>4105</v>
      </c>
      <c r="B1385" s="40" t="s">
        <v>1442</v>
      </c>
      <c r="C1385" s="36"/>
      <c r="D1385" s="40"/>
    </row>
    <row r="1386" spans="1:4" x14ac:dyDescent="0.3">
      <c r="A1386" s="42">
        <v>4106</v>
      </c>
      <c r="B1386" s="40" t="s">
        <v>1443</v>
      </c>
      <c r="C1386" s="36"/>
      <c r="D1386" s="40"/>
    </row>
    <row r="1387" spans="1:4" x14ac:dyDescent="0.3">
      <c r="A1387" s="42">
        <v>4107</v>
      </c>
      <c r="B1387" s="40" t="s">
        <v>1462</v>
      </c>
      <c r="C1387" s="36"/>
      <c r="D1387" s="40"/>
    </row>
    <row r="1388" spans="1:4" x14ac:dyDescent="0.3">
      <c r="A1388" s="42">
        <v>4108</v>
      </c>
      <c r="B1388" s="40" t="s">
        <v>1463</v>
      </c>
      <c r="C1388" s="36"/>
      <c r="D1388" s="40"/>
    </row>
    <row r="1389" spans="1:4" x14ac:dyDescent="0.3">
      <c r="A1389" s="42">
        <v>4109</v>
      </c>
      <c r="B1389" s="40" t="s">
        <v>1464</v>
      </c>
      <c r="C1389" s="36"/>
      <c r="D1389" s="40"/>
    </row>
    <row r="1390" spans="1:4" x14ac:dyDescent="0.3">
      <c r="A1390" s="42">
        <v>4110</v>
      </c>
      <c r="B1390" s="40" t="s">
        <v>1465</v>
      </c>
      <c r="C1390" s="36"/>
      <c r="D1390" s="40"/>
    </row>
    <row r="1391" spans="1:4" x14ac:dyDescent="0.3">
      <c r="A1391" s="42">
        <v>4111</v>
      </c>
      <c r="B1391" s="40" t="s">
        <v>1466</v>
      </c>
      <c r="C1391" s="36"/>
      <c r="D1391" s="40"/>
    </row>
    <row r="1392" spans="1:4" x14ac:dyDescent="0.3">
      <c r="A1392" s="42">
        <v>4112</v>
      </c>
      <c r="B1392" s="40" t="s">
        <v>1467</v>
      </c>
      <c r="C1392" s="36"/>
      <c r="D1392" s="40"/>
    </row>
    <row r="1393" spans="1:4" x14ac:dyDescent="0.3">
      <c r="A1393" s="42">
        <v>4113</v>
      </c>
      <c r="B1393" s="40" t="s">
        <v>1468</v>
      </c>
      <c r="C1393" s="36"/>
      <c r="D1393" s="40"/>
    </row>
    <row r="1394" spans="1:4" x14ac:dyDescent="0.3">
      <c r="A1394" s="42">
        <v>4114</v>
      </c>
      <c r="B1394" s="40" t="s">
        <v>1474</v>
      </c>
      <c r="C1394" s="36"/>
      <c r="D1394" s="40"/>
    </row>
    <row r="1395" spans="1:4" x14ac:dyDescent="0.3">
      <c r="A1395" s="42">
        <v>4115</v>
      </c>
      <c r="B1395" s="40" t="s">
        <v>1475</v>
      </c>
      <c r="C1395" s="36"/>
      <c r="D1395" s="40"/>
    </row>
    <row r="1396" spans="1:4" x14ac:dyDescent="0.3">
      <c r="A1396" s="42">
        <v>4116</v>
      </c>
      <c r="B1396" s="40" t="s">
        <v>1476</v>
      </c>
      <c r="C1396" s="36"/>
      <c r="D1396" s="40"/>
    </row>
    <row r="1397" spans="1:4" x14ac:dyDescent="0.3">
      <c r="A1397" s="42">
        <v>4117</v>
      </c>
      <c r="B1397" s="40" t="s">
        <v>1494</v>
      </c>
      <c r="C1397" s="36"/>
      <c r="D1397" s="40"/>
    </row>
    <row r="1398" spans="1:4" x14ac:dyDescent="0.3">
      <c r="A1398" s="42">
        <v>4118</v>
      </c>
      <c r="B1398" s="40" t="s">
        <v>1495</v>
      </c>
      <c r="C1398" s="36"/>
      <c r="D1398" s="40"/>
    </row>
    <row r="1399" spans="1:4" x14ac:dyDescent="0.3">
      <c r="A1399" s="42">
        <v>4119</v>
      </c>
      <c r="B1399" s="40" t="s">
        <v>1496</v>
      </c>
      <c r="C1399" s="36"/>
      <c r="D1399" s="40"/>
    </row>
    <row r="1400" spans="1:4" x14ac:dyDescent="0.3">
      <c r="A1400" s="42">
        <v>4120</v>
      </c>
      <c r="B1400" s="40" t="s">
        <v>1497</v>
      </c>
      <c r="C1400" s="36"/>
      <c r="D1400" s="40"/>
    </row>
    <row r="1401" spans="1:4" x14ac:dyDescent="0.3">
      <c r="A1401" s="42">
        <v>4121</v>
      </c>
      <c r="B1401" s="40" t="s">
        <v>1498</v>
      </c>
      <c r="C1401" s="36"/>
      <c r="D1401" s="40"/>
    </row>
    <row r="1402" spans="1:4" x14ac:dyDescent="0.3">
      <c r="A1402" s="42">
        <v>4122</v>
      </c>
      <c r="B1402" s="40" t="s">
        <v>1499</v>
      </c>
      <c r="C1402" s="36"/>
      <c r="D1402" s="40"/>
    </row>
    <row r="1403" spans="1:4" x14ac:dyDescent="0.3">
      <c r="A1403" s="42">
        <v>4123</v>
      </c>
      <c r="B1403" s="40" t="s">
        <v>1500</v>
      </c>
      <c r="C1403" s="36"/>
      <c r="D1403" s="40"/>
    </row>
    <row r="1404" spans="1:4" x14ac:dyDescent="0.3">
      <c r="A1404" s="42">
        <v>4124</v>
      </c>
      <c r="B1404" s="40" t="s">
        <v>1501</v>
      </c>
      <c r="C1404" s="36"/>
      <c r="D1404" s="40"/>
    </row>
    <row r="1405" spans="1:4" x14ac:dyDescent="0.3">
      <c r="A1405" s="42">
        <v>4125</v>
      </c>
      <c r="B1405" s="40" t="s">
        <v>1487</v>
      </c>
      <c r="C1405" s="36"/>
      <c r="D1405" s="40"/>
    </row>
    <row r="1406" spans="1:4" x14ac:dyDescent="0.3">
      <c r="A1406" s="42">
        <v>4126</v>
      </c>
      <c r="B1406" s="40" t="s">
        <v>1488</v>
      </c>
      <c r="C1406" s="36"/>
      <c r="D1406" s="40"/>
    </row>
    <row r="1407" spans="1:4" x14ac:dyDescent="0.3">
      <c r="A1407" s="42">
        <v>4127</v>
      </c>
      <c r="B1407" s="40" t="s">
        <v>1489</v>
      </c>
      <c r="C1407" s="36"/>
      <c r="D1407" s="40"/>
    </row>
    <row r="1408" spans="1:4" x14ac:dyDescent="0.3">
      <c r="A1408" s="42">
        <v>4128</v>
      </c>
      <c r="B1408" s="40" t="s">
        <v>1490</v>
      </c>
      <c r="C1408" s="36"/>
      <c r="D1408" s="40"/>
    </row>
    <row r="1409" spans="1:4" x14ac:dyDescent="0.3">
      <c r="A1409" s="42">
        <v>4129</v>
      </c>
      <c r="B1409" s="40" t="s">
        <v>1491</v>
      </c>
      <c r="C1409" s="36"/>
      <c r="D1409" s="40"/>
    </row>
    <row r="1410" spans="1:4" x14ac:dyDescent="0.3">
      <c r="A1410" s="42">
        <v>4130</v>
      </c>
      <c r="B1410" s="40" t="s">
        <v>1492</v>
      </c>
      <c r="C1410" s="36"/>
      <c r="D1410" s="40"/>
    </row>
    <row r="1411" spans="1:4" x14ac:dyDescent="0.3">
      <c r="A1411" s="42">
        <v>4131</v>
      </c>
      <c r="B1411" s="40" t="s">
        <v>1493</v>
      </c>
      <c r="C1411" s="36"/>
      <c r="D1411" s="40"/>
    </row>
    <row r="1412" spans="1:4" x14ac:dyDescent="0.3">
      <c r="A1412" s="42">
        <v>4132</v>
      </c>
      <c r="B1412" s="40" t="s">
        <v>1512</v>
      </c>
    </row>
    <row r="1413" spans="1:4" x14ac:dyDescent="0.3">
      <c r="A1413" s="42">
        <v>4133</v>
      </c>
      <c r="B1413" s="40" t="s">
        <v>1513</v>
      </c>
    </row>
    <row r="1414" spans="1:4" x14ac:dyDescent="0.3">
      <c r="A1414" s="42">
        <v>4134</v>
      </c>
      <c r="B1414" s="40" t="s">
        <v>1514</v>
      </c>
    </row>
    <row r="1415" spans="1:4" x14ac:dyDescent="0.3">
      <c r="A1415" s="42">
        <v>4135</v>
      </c>
      <c r="B1415" s="40" t="s">
        <v>1515</v>
      </c>
    </row>
    <row r="1416" spans="1:4" x14ac:dyDescent="0.3">
      <c r="A1416" s="42">
        <v>4136</v>
      </c>
      <c r="B1416" s="40" t="s">
        <v>1516</v>
      </c>
    </row>
    <row r="1417" spans="1:4" x14ac:dyDescent="0.3">
      <c r="A1417" s="42">
        <v>4137</v>
      </c>
      <c r="B1417" s="40" t="s">
        <v>1517</v>
      </c>
    </row>
    <row r="1418" spans="1:4" x14ac:dyDescent="0.3">
      <c r="A1418" s="42">
        <v>4138</v>
      </c>
      <c r="B1418" s="40" t="s">
        <v>1518</v>
      </c>
    </row>
    <row r="1419" spans="1:4" x14ac:dyDescent="0.3">
      <c r="A1419" s="42">
        <v>4139</v>
      </c>
      <c r="B1419" s="40" t="s">
        <v>1519</v>
      </c>
    </row>
    <row r="1420" spans="1:4" x14ac:dyDescent="0.3">
      <c r="A1420" s="42">
        <v>4140</v>
      </c>
      <c r="B1420" s="40" t="s">
        <v>1520</v>
      </c>
    </row>
    <row r="1421" spans="1:4" x14ac:dyDescent="0.3">
      <c r="A1421" s="42">
        <v>4141</v>
      </c>
      <c r="B1421" s="40" t="s">
        <v>1521</v>
      </c>
    </row>
    <row r="1422" spans="1:4" x14ac:dyDescent="0.3">
      <c r="A1422" s="42">
        <v>4142</v>
      </c>
      <c r="B1422" s="40" t="s">
        <v>1522</v>
      </c>
    </row>
    <row r="1423" spans="1:4" x14ac:dyDescent="0.3">
      <c r="A1423" s="42">
        <v>4143</v>
      </c>
      <c r="B1423" s="40" t="s">
        <v>1523</v>
      </c>
    </row>
    <row r="1424" spans="1:4" x14ac:dyDescent="0.3">
      <c r="A1424" s="42">
        <v>4144</v>
      </c>
      <c r="B1424" s="40" t="s">
        <v>1524</v>
      </c>
    </row>
    <row r="1425" spans="1:2" x14ac:dyDescent="0.3">
      <c r="A1425" s="42">
        <v>4145</v>
      </c>
      <c r="B1425" s="40" t="s">
        <v>1525</v>
      </c>
    </row>
    <row r="1426" spans="1:2" x14ac:dyDescent="0.3">
      <c r="A1426" s="42">
        <v>4146</v>
      </c>
      <c r="B1426" s="40" t="s">
        <v>1526</v>
      </c>
    </row>
    <row r="1427" spans="1:2" x14ac:dyDescent="0.3">
      <c r="A1427" s="42">
        <v>4147</v>
      </c>
      <c r="B1427" s="40" t="s">
        <v>1527</v>
      </c>
    </row>
    <row r="1428" spans="1:2" x14ac:dyDescent="0.3">
      <c r="A1428" s="42">
        <v>4148</v>
      </c>
      <c r="B1428" s="40" t="s">
        <v>1528</v>
      </c>
    </row>
    <row r="1429" spans="1:2" x14ac:dyDescent="0.3">
      <c r="A1429" s="42">
        <v>4149</v>
      </c>
      <c r="B1429" s="40" t="s">
        <v>1021</v>
      </c>
    </row>
    <row r="1430" spans="1:2" x14ac:dyDescent="0.3">
      <c r="A1430" s="42">
        <v>4150</v>
      </c>
      <c r="B1430" s="40" t="s">
        <v>1529</v>
      </c>
    </row>
    <row r="1431" spans="1:2" x14ac:dyDescent="0.3">
      <c r="A1431" s="42">
        <v>4151</v>
      </c>
      <c r="B1431" s="40" t="s">
        <v>1530</v>
      </c>
    </row>
    <row r="1432" spans="1:2" x14ac:dyDescent="0.3">
      <c r="A1432" s="42">
        <v>4152</v>
      </c>
      <c r="B1432" s="40" t="s">
        <v>1531</v>
      </c>
    </row>
    <row r="1433" spans="1:2" x14ac:dyDescent="0.3">
      <c r="A1433" s="42">
        <v>4153</v>
      </c>
      <c r="B1433" s="40" t="s">
        <v>1542</v>
      </c>
    </row>
    <row r="1434" spans="1:2" x14ac:dyDescent="0.3">
      <c r="A1434" s="42">
        <v>4154</v>
      </c>
      <c r="B1434" s="40" t="s">
        <v>1543</v>
      </c>
    </row>
    <row r="1435" spans="1:2" x14ac:dyDescent="0.3">
      <c r="A1435" s="42">
        <v>4155</v>
      </c>
      <c r="B1435" s="40" t="s">
        <v>1544</v>
      </c>
    </row>
    <row r="1436" spans="1:2" x14ac:dyDescent="0.3">
      <c r="A1436" s="42">
        <v>4156</v>
      </c>
      <c r="B1436" s="40" t="s">
        <v>1545</v>
      </c>
    </row>
    <row r="1437" spans="1:2" x14ac:dyDescent="0.3">
      <c r="A1437" s="42">
        <v>4157</v>
      </c>
      <c r="B1437" s="40" t="s">
        <v>1546</v>
      </c>
    </row>
    <row r="1438" spans="1:2" x14ac:dyDescent="0.3">
      <c r="A1438" s="42">
        <v>4158</v>
      </c>
      <c r="B1438" s="40" t="s">
        <v>1547</v>
      </c>
    </row>
    <row r="1439" spans="1:2" x14ac:dyDescent="0.3">
      <c r="A1439" s="42">
        <v>4159</v>
      </c>
      <c r="B1439" s="40" t="s">
        <v>1548</v>
      </c>
    </row>
    <row r="1440" spans="1:2" x14ac:dyDescent="0.3">
      <c r="A1440" s="42">
        <v>4160</v>
      </c>
      <c r="B1440" s="40" t="s">
        <v>1549</v>
      </c>
    </row>
    <row r="1441" spans="1:2" x14ac:dyDescent="0.3">
      <c r="A1441" s="42">
        <v>4161</v>
      </c>
      <c r="B1441" s="40" t="s">
        <v>1550</v>
      </c>
    </row>
    <row r="1442" spans="1:2" x14ac:dyDescent="0.3">
      <c r="A1442" s="42">
        <v>4162</v>
      </c>
      <c r="B1442" s="40" t="s">
        <v>1551</v>
      </c>
    </row>
    <row r="1443" spans="1:2" x14ac:dyDescent="0.3">
      <c r="A1443" s="42">
        <v>4163</v>
      </c>
      <c r="B1443" s="40" t="s">
        <v>1552</v>
      </c>
    </row>
    <row r="1444" spans="1:2" x14ac:dyDescent="0.3">
      <c r="A1444" s="42">
        <v>4164</v>
      </c>
      <c r="B1444" s="40" t="s">
        <v>1553</v>
      </c>
    </row>
    <row r="1445" spans="1:2" x14ac:dyDescent="0.3">
      <c r="A1445" s="42">
        <v>4165</v>
      </c>
      <c r="B1445" s="40" t="s">
        <v>1554</v>
      </c>
    </row>
    <row r="1446" spans="1:2" x14ac:dyDescent="0.3">
      <c r="A1446" s="42">
        <v>4167</v>
      </c>
      <c r="B1446" s="40" t="s">
        <v>1555</v>
      </c>
    </row>
    <row r="1447" spans="1:2" x14ac:dyDescent="0.3">
      <c r="A1447" s="42">
        <v>4168</v>
      </c>
      <c r="B1447" s="40" t="s">
        <v>1556</v>
      </c>
    </row>
    <row r="1448" spans="1:2" x14ac:dyDescent="0.3">
      <c r="A1448" s="42">
        <v>4169</v>
      </c>
      <c r="B1448" s="40" t="s">
        <v>1557</v>
      </c>
    </row>
    <row r="1449" spans="1:2" x14ac:dyDescent="0.3">
      <c r="A1449" s="42">
        <v>4170</v>
      </c>
      <c r="B1449" s="40" t="s">
        <v>1558</v>
      </c>
    </row>
    <row r="1450" spans="1:2" x14ac:dyDescent="0.3">
      <c r="A1450" s="42">
        <v>4171</v>
      </c>
      <c r="B1450" s="40" t="s">
        <v>1559</v>
      </c>
    </row>
    <row r="1451" spans="1:2" x14ac:dyDescent="0.3">
      <c r="A1451" s="42">
        <v>4172</v>
      </c>
      <c r="B1451" s="40" t="s">
        <v>1560</v>
      </c>
    </row>
    <row r="1452" spans="1:2" x14ac:dyDescent="0.3">
      <c r="A1452" s="42">
        <v>4173</v>
      </c>
      <c r="B1452" s="40" t="s">
        <v>1561</v>
      </c>
    </row>
    <row r="1453" spans="1:2" x14ac:dyDescent="0.3">
      <c r="A1453" s="42">
        <v>4174</v>
      </c>
      <c r="B1453" s="40" t="s">
        <v>1562</v>
      </c>
    </row>
    <row r="1454" spans="1:2" x14ac:dyDescent="0.3">
      <c r="A1454" s="42">
        <v>4175</v>
      </c>
      <c r="B1454" s="40" t="s">
        <v>1563</v>
      </c>
    </row>
    <row r="1455" spans="1:2" x14ac:dyDescent="0.3">
      <c r="A1455" s="42">
        <v>4176</v>
      </c>
      <c r="B1455" s="40" t="s">
        <v>1564</v>
      </c>
    </row>
    <row r="1456" spans="1:2" x14ac:dyDescent="0.3">
      <c r="A1456" s="42">
        <v>4177</v>
      </c>
      <c r="B1456" s="40" t="s">
        <v>1565</v>
      </c>
    </row>
    <row r="1457" spans="1:2" x14ac:dyDescent="0.3">
      <c r="A1457" s="42">
        <v>4178</v>
      </c>
      <c r="B1457" s="40" t="s">
        <v>1566</v>
      </c>
    </row>
    <row r="1458" spans="1:2" x14ac:dyDescent="0.3">
      <c r="A1458" s="42">
        <v>4179</v>
      </c>
      <c r="B1458" s="40" t="s">
        <v>1567</v>
      </c>
    </row>
    <row r="1459" spans="1:2" x14ac:dyDescent="0.3">
      <c r="A1459" s="42">
        <v>4180</v>
      </c>
      <c r="B1459" s="40" t="s">
        <v>1568</v>
      </c>
    </row>
    <row r="1460" spans="1:2" x14ac:dyDescent="0.3">
      <c r="A1460" s="42">
        <v>4181</v>
      </c>
      <c r="B1460" s="40" t="s">
        <v>1569</v>
      </c>
    </row>
    <row r="1461" spans="1:2" x14ac:dyDescent="0.3">
      <c r="A1461" s="42">
        <v>4182</v>
      </c>
      <c r="B1461" s="40" t="s">
        <v>1570</v>
      </c>
    </row>
    <row r="1462" spans="1:2" x14ac:dyDescent="0.3">
      <c r="A1462" s="42">
        <v>4183</v>
      </c>
      <c r="B1462" s="40" t="s">
        <v>1571</v>
      </c>
    </row>
    <row r="1463" spans="1:2" x14ac:dyDescent="0.3">
      <c r="A1463" s="42">
        <v>4184</v>
      </c>
      <c r="B1463" s="40" t="s">
        <v>1572</v>
      </c>
    </row>
    <row r="1464" spans="1:2" x14ac:dyDescent="0.3">
      <c r="A1464" s="42">
        <v>4185</v>
      </c>
      <c r="B1464" s="40" t="s">
        <v>1573</v>
      </c>
    </row>
    <row r="1465" spans="1:2" x14ac:dyDescent="0.3">
      <c r="A1465" s="42">
        <v>4186</v>
      </c>
      <c r="B1465" s="40" t="s">
        <v>1574</v>
      </c>
    </row>
    <row r="1466" spans="1:2" x14ac:dyDescent="0.3">
      <c r="A1466" s="42">
        <v>4187</v>
      </c>
      <c r="B1466" s="40" t="s">
        <v>1575</v>
      </c>
    </row>
    <row r="1467" spans="1:2" x14ac:dyDescent="0.3">
      <c r="A1467" s="42">
        <v>4188</v>
      </c>
      <c r="B1467" s="40" t="s">
        <v>1576</v>
      </c>
    </row>
    <row r="1468" spans="1:2" x14ac:dyDescent="0.3">
      <c r="A1468" s="42">
        <v>4189</v>
      </c>
      <c r="B1468" s="40" t="s">
        <v>1577</v>
      </c>
    </row>
    <row r="1469" spans="1:2" x14ac:dyDescent="0.3">
      <c r="A1469" s="42">
        <v>4190</v>
      </c>
      <c r="B1469" s="40" t="s">
        <v>1578</v>
      </c>
    </row>
    <row r="1470" spans="1:2" x14ac:dyDescent="0.3">
      <c r="A1470" s="42">
        <v>4191</v>
      </c>
      <c r="B1470" s="40" t="s">
        <v>1579</v>
      </c>
    </row>
    <row r="1471" spans="1:2" x14ac:dyDescent="0.3">
      <c r="A1471" s="42">
        <v>4192</v>
      </c>
      <c r="B1471" s="40" t="s">
        <v>1580</v>
      </c>
    </row>
    <row r="1472" spans="1:2" x14ac:dyDescent="0.3">
      <c r="A1472" s="42">
        <v>4193</v>
      </c>
      <c r="B1472" s="40" t="s">
        <v>1581</v>
      </c>
    </row>
    <row r="1473" spans="1:2" x14ac:dyDescent="0.3">
      <c r="A1473" s="42">
        <v>4194</v>
      </c>
      <c r="B1473" s="40" t="s">
        <v>1582</v>
      </c>
    </row>
    <row r="1474" spans="1:2" x14ac:dyDescent="0.3">
      <c r="A1474" s="42">
        <v>4195</v>
      </c>
      <c r="B1474" s="40" t="s">
        <v>1583</v>
      </c>
    </row>
    <row r="1475" spans="1:2" x14ac:dyDescent="0.3">
      <c r="A1475" s="42">
        <v>4196</v>
      </c>
      <c r="B1475" s="40" t="s">
        <v>1584</v>
      </c>
    </row>
    <row r="1476" spans="1:2" x14ac:dyDescent="0.3">
      <c r="A1476" s="42">
        <v>4197</v>
      </c>
      <c r="B1476" s="40" t="s">
        <v>1585</v>
      </c>
    </row>
    <row r="1477" spans="1:2" x14ac:dyDescent="0.3">
      <c r="A1477" s="42">
        <v>4198</v>
      </c>
      <c r="B1477" s="40" t="s">
        <v>1586</v>
      </c>
    </row>
    <row r="1478" spans="1:2" x14ac:dyDescent="0.3">
      <c r="A1478" s="42">
        <v>4199</v>
      </c>
      <c r="B1478" s="40" t="s">
        <v>1587</v>
      </c>
    </row>
    <row r="1479" spans="1:2" x14ac:dyDescent="0.3">
      <c r="A1479" s="42">
        <v>4200</v>
      </c>
      <c r="B1479" s="40" t="s">
        <v>1588</v>
      </c>
    </row>
    <row r="1480" spans="1:2" x14ac:dyDescent="0.3">
      <c r="A1480" s="42">
        <v>4201</v>
      </c>
      <c r="B1480" s="40" t="s">
        <v>1589</v>
      </c>
    </row>
    <row r="1481" spans="1:2" x14ac:dyDescent="0.3">
      <c r="A1481" s="42">
        <v>4202</v>
      </c>
      <c r="B1481" s="40" t="s">
        <v>1590</v>
      </c>
    </row>
    <row r="1482" spans="1:2" x14ac:dyDescent="0.3">
      <c r="A1482" s="42">
        <v>4203</v>
      </c>
      <c r="B1482" s="40" t="s">
        <v>1591</v>
      </c>
    </row>
    <row r="1483" spans="1:2" x14ac:dyDescent="0.3">
      <c r="A1483" s="42">
        <v>4204</v>
      </c>
      <c r="B1483" s="40" t="s">
        <v>1592</v>
      </c>
    </row>
    <row r="1484" spans="1:2" x14ac:dyDescent="0.3">
      <c r="A1484" s="42">
        <v>4206</v>
      </c>
      <c r="B1484" s="40" t="s">
        <v>1593</v>
      </c>
    </row>
    <row r="1485" spans="1:2" x14ac:dyDescent="0.3">
      <c r="A1485" s="42">
        <v>4207</v>
      </c>
      <c r="B1485" s="40" t="s">
        <v>1594</v>
      </c>
    </row>
    <row r="1486" spans="1:2" x14ac:dyDescent="0.3">
      <c r="A1486" s="42">
        <v>4208</v>
      </c>
      <c r="B1486" s="40" t="s">
        <v>1595</v>
      </c>
    </row>
    <row r="1487" spans="1:2" x14ac:dyDescent="0.3">
      <c r="A1487" s="42">
        <v>4209</v>
      </c>
      <c r="B1487" s="40" t="s">
        <v>1596</v>
      </c>
    </row>
    <row r="1488" spans="1:2" x14ac:dyDescent="0.3">
      <c r="A1488" s="42">
        <v>4210</v>
      </c>
      <c r="B1488" s="40" t="s">
        <v>1597</v>
      </c>
    </row>
    <row r="1489" spans="1:2" x14ac:dyDescent="0.3">
      <c r="A1489" s="42">
        <v>4211</v>
      </c>
      <c r="B1489" s="40" t="s">
        <v>1598</v>
      </c>
    </row>
    <row r="1490" spans="1:2" x14ac:dyDescent="0.3">
      <c r="A1490" s="42">
        <v>4212</v>
      </c>
      <c r="B1490" s="40" t="s">
        <v>1599</v>
      </c>
    </row>
    <row r="1491" spans="1:2" x14ac:dyDescent="0.3">
      <c r="A1491" s="42">
        <v>4213</v>
      </c>
      <c r="B1491" s="40" t="s">
        <v>1600</v>
      </c>
    </row>
    <row r="1492" spans="1:2" x14ac:dyDescent="0.3">
      <c r="A1492" s="42">
        <v>4214</v>
      </c>
      <c r="B1492" s="40" t="s">
        <v>1601</v>
      </c>
    </row>
    <row r="1493" spans="1:2" x14ac:dyDescent="0.3">
      <c r="A1493" s="42">
        <v>4215</v>
      </c>
      <c r="B1493" s="40" t="s">
        <v>1602</v>
      </c>
    </row>
    <row r="1494" spans="1:2" x14ac:dyDescent="0.3">
      <c r="A1494" s="42">
        <v>4216</v>
      </c>
      <c r="B1494" s="40" t="s">
        <v>1603</v>
      </c>
    </row>
    <row r="1495" spans="1:2" x14ac:dyDescent="0.3">
      <c r="A1495" s="42">
        <v>4217</v>
      </c>
      <c r="B1495" s="40" t="s">
        <v>1604</v>
      </c>
    </row>
    <row r="1496" spans="1:2" x14ac:dyDescent="0.3">
      <c r="A1496" s="42">
        <v>4218</v>
      </c>
      <c r="B1496" s="40" t="s">
        <v>1605</v>
      </c>
    </row>
    <row r="1497" spans="1:2" x14ac:dyDescent="0.3">
      <c r="A1497" s="42">
        <v>4219</v>
      </c>
      <c r="B1497" s="40" t="s">
        <v>1606</v>
      </c>
    </row>
    <row r="1498" spans="1:2" x14ac:dyDescent="0.3">
      <c r="A1498" s="42">
        <v>4220</v>
      </c>
      <c r="B1498" s="40" t="s">
        <v>1607</v>
      </c>
    </row>
    <row r="1499" spans="1:2" x14ac:dyDescent="0.3">
      <c r="A1499" s="42">
        <v>4221</v>
      </c>
      <c r="B1499" s="40" t="s">
        <v>1608</v>
      </c>
    </row>
    <row r="1500" spans="1:2" x14ac:dyDescent="0.3">
      <c r="A1500" s="42">
        <v>4222</v>
      </c>
      <c r="B1500" s="40" t="s">
        <v>1609</v>
      </c>
    </row>
    <row r="1501" spans="1:2" x14ac:dyDescent="0.3">
      <c r="A1501" s="42">
        <v>4223</v>
      </c>
      <c r="B1501" s="40" t="s">
        <v>1610</v>
      </c>
    </row>
    <row r="1502" spans="1:2" x14ac:dyDescent="0.3">
      <c r="A1502" s="42">
        <v>4224</v>
      </c>
      <c r="B1502" s="40" t="s">
        <v>1611</v>
      </c>
    </row>
    <row r="1503" spans="1:2" x14ac:dyDescent="0.3">
      <c r="A1503" s="42">
        <v>4225</v>
      </c>
      <c r="B1503" s="40" t="s">
        <v>1612</v>
      </c>
    </row>
    <row r="1504" spans="1:2" x14ac:dyDescent="0.3">
      <c r="A1504" s="42">
        <v>4226</v>
      </c>
      <c r="B1504" s="40" t="s">
        <v>1613</v>
      </c>
    </row>
    <row r="1505" spans="1:2" x14ac:dyDescent="0.3">
      <c r="A1505" s="42">
        <v>4227</v>
      </c>
      <c r="B1505" s="40" t="s">
        <v>1614</v>
      </c>
    </row>
    <row r="1506" spans="1:2" x14ac:dyDescent="0.3">
      <c r="A1506" s="42">
        <v>4228</v>
      </c>
      <c r="B1506" s="40" t="s">
        <v>1615</v>
      </c>
    </row>
    <row r="1507" spans="1:2" x14ac:dyDescent="0.3">
      <c r="A1507" s="42">
        <v>4229</v>
      </c>
      <c r="B1507" s="40" t="s">
        <v>1616</v>
      </c>
    </row>
    <row r="1508" spans="1:2" x14ac:dyDescent="0.3">
      <c r="A1508" s="42">
        <v>4230</v>
      </c>
      <c r="B1508" s="40" t="s">
        <v>1617</v>
      </c>
    </row>
    <row r="1509" spans="1:2" x14ac:dyDescent="0.3">
      <c r="A1509" s="42">
        <v>4231</v>
      </c>
      <c r="B1509" s="40" t="s">
        <v>1618</v>
      </c>
    </row>
    <row r="1510" spans="1:2" x14ac:dyDescent="0.3">
      <c r="A1510" s="42">
        <v>4232</v>
      </c>
      <c r="B1510" s="40" t="s">
        <v>1619</v>
      </c>
    </row>
    <row r="1511" spans="1:2" x14ac:dyDescent="0.3">
      <c r="A1511" s="42">
        <v>4233</v>
      </c>
      <c r="B1511" s="40" t="s">
        <v>1620</v>
      </c>
    </row>
    <row r="1512" spans="1:2" x14ac:dyDescent="0.3">
      <c r="A1512" s="42">
        <v>4234</v>
      </c>
      <c r="B1512" s="40" t="s">
        <v>1621</v>
      </c>
    </row>
    <row r="1513" spans="1:2" x14ac:dyDescent="0.3">
      <c r="A1513" s="42">
        <v>4235</v>
      </c>
      <c r="B1513" s="40" t="s">
        <v>1622</v>
      </c>
    </row>
    <row r="1514" spans="1:2" x14ac:dyDescent="0.3">
      <c r="A1514" s="42">
        <v>4236</v>
      </c>
      <c r="B1514" s="40" t="s">
        <v>1623</v>
      </c>
    </row>
    <row r="1515" spans="1:2" x14ac:dyDescent="0.3">
      <c r="A1515" s="42">
        <v>4237</v>
      </c>
      <c r="B1515" s="40" t="s">
        <v>1624</v>
      </c>
    </row>
    <row r="1516" spans="1:2" x14ac:dyDescent="0.3">
      <c r="A1516" s="42">
        <v>4239</v>
      </c>
      <c r="B1516" s="40" t="s">
        <v>1625</v>
      </c>
    </row>
    <row r="1517" spans="1:2" x14ac:dyDescent="0.3">
      <c r="A1517" s="42">
        <v>4240</v>
      </c>
      <c r="B1517" s="40" t="s">
        <v>1626</v>
      </c>
    </row>
    <row r="1518" spans="1:2" x14ac:dyDescent="0.3">
      <c r="A1518" s="42">
        <v>4241</v>
      </c>
      <c r="B1518" s="40" t="s">
        <v>1627</v>
      </c>
    </row>
    <row r="1519" spans="1:2" x14ac:dyDescent="0.3">
      <c r="A1519" s="42">
        <v>2800</v>
      </c>
      <c r="B1519" s="40" t="s">
        <v>1628</v>
      </c>
    </row>
    <row r="1520" spans="1:2" x14ac:dyDescent="0.3">
      <c r="A1520" s="42">
        <v>2801</v>
      </c>
      <c r="B1520" s="40" t="s">
        <v>1629</v>
      </c>
    </row>
    <row r="1521" spans="1:2" x14ac:dyDescent="0.3">
      <c r="A1521" s="42">
        <v>4242</v>
      </c>
      <c r="B1521" s="40" t="s">
        <v>1630</v>
      </c>
    </row>
    <row r="1522" spans="1:2" x14ac:dyDescent="0.3">
      <c r="A1522" s="42">
        <v>4243</v>
      </c>
      <c r="B1522" s="40" t="s">
        <v>1631</v>
      </c>
    </row>
    <row r="1523" spans="1:2" x14ac:dyDescent="0.3">
      <c r="A1523" s="42">
        <v>4244</v>
      </c>
      <c r="B1523" s="40" t="s">
        <v>1632</v>
      </c>
    </row>
    <row r="1524" spans="1:2" x14ac:dyDescent="0.3">
      <c r="A1524" s="42">
        <v>4245</v>
      </c>
      <c r="B1524" s="40" t="s">
        <v>1633</v>
      </c>
    </row>
    <row r="1525" spans="1:2" x14ac:dyDescent="0.3">
      <c r="A1525" s="42">
        <v>4246</v>
      </c>
      <c r="B1525" s="40" t="s">
        <v>1634</v>
      </c>
    </row>
    <row r="1526" spans="1:2" x14ac:dyDescent="0.3">
      <c r="A1526" s="42">
        <v>4247</v>
      </c>
      <c r="B1526" s="40" t="s">
        <v>1635</v>
      </c>
    </row>
    <row r="1527" spans="1:2" x14ac:dyDescent="0.3">
      <c r="A1527" s="42">
        <v>4248</v>
      </c>
      <c r="B1527" s="40" t="s">
        <v>998</v>
      </c>
    </row>
    <row r="1528" spans="1:2" x14ac:dyDescent="0.3">
      <c r="A1528" s="42">
        <v>4249</v>
      </c>
      <c r="B1528" s="40" t="s">
        <v>1636</v>
      </c>
    </row>
    <row r="1529" spans="1:2" x14ac:dyDescent="0.3">
      <c r="A1529" s="42">
        <v>4250</v>
      </c>
      <c r="B1529" s="40" t="s">
        <v>1637</v>
      </c>
    </row>
    <row r="1530" spans="1:2" x14ac:dyDescent="0.3">
      <c r="A1530" s="42">
        <v>4251</v>
      </c>
      <c r="B1530" s="40" t="s">
        <v>1638</v>
      </c>
    </row>
    <row r="1531" spans="1:2" x14ac:dyDescent="0.3">
      <c r="A1531" s="42">
        <v>4252</v>
      </c>
      <c r="B1531" s="40" t="s">
        <v>1639</v>
      </c>
    </row>
    <row r="1532" spans="1:2" x14ac:dyDescent="0.3">
      <c r="A1532" s="42">
        <v>4253</v>
      </c>
      <c r="B1532" s="40" t="s">
        <v>1122</v>
      </c>
    </row>
    <row r="1533" spans="1:2" x14ac:dyDescent="0.3">
      <c r="A1533" s="42">
        <v>4254</v>
      </c>
      <c r="B1533" s="40" t="s">
        <v>1640</v>
      </c>
    </row>
    <row r="1534" spans="1:2" x14ac:dyDescent="0.3">
      <c r="A1534" s="42">
        <v>4255</v>
      </c>
      <c r="B1534" s="40" t="s">
        <v>1641</v>
      </c>
    </row>
    <row r="1535" spans="1:2" x14ac:dyDescent="0.3">
      <c r="A1535" s="42">
        <v>4256</v>
      </c>
      <c r="B1535" s="40" t="s">
        <v>724</v>
      </c>
    </row>
    <row r="1536" spans="1:2" x14ac:dyDescent="0.3">
      <c r="A1536" s="42">
        <v>4257</v>
      </c>
      <c r="B1536" s="40" t="s">
        <v>1642</v>
      </c>
    </row>
    <row r="1537" spans="1:2" x14ac:dyDescent="0.3">
      <c r="A1537" s="42">
        <v>4258</v>
      </c>
      <c r="B1537" s="40" t="s">
        <v>1643</v>
      </c>
    </row>
    <row r="1538" spans="1:2" x14ac:dyDescent="0.3">
      <c r="A1538" s="42">
        <v>4259</v>
      </c>
      <c r="B1538" s="40" t="s">
        <v>1644</v>
      </c>
    </row>
    <row r="1539" spans="1:2" x14ac:dyDescent="0.3">
      <c r="A1539" s="42">
        <v>4260</v>
      </c>
      <c r="B1539" s="40" t="s">
        <v>1645</v>
      </c>
    </row>
    <row r="1540" spans="1:2" x14ac:dyDescent="0.3">
      <c r="A1540" s="42">
        <v>4261</v>
      </c>
      <c r="B1540" s="40" t="s">
        <v>1646</v>
      </c>
    </row>
    <row r="1541" spans="1:2" x14ac:dyDescent="0.3">
      <c r="A1541" s="42">
        <v>4262</v>
      </c>
      <c r="B1541" s="40" t="s">
        <v>1647</v>
      </c>
    </row>
    <row r="1542" spans="1:2" x14ac:dyDescent="0.3">
      <c r="A1542" s="42">
        <v>4263</v>
      </c>
      <c r="B1542" s="40" t="s">
        <v>1648</v>
      </c>
    </row>
    <row r="1543" spans="1:2" x14ac:dyDescent="0.3">
      <c r="A1543" s="42">
        <v>4264</v>
      </c>
      <c r="B1543" s="40" t="s">
        <v>1649</v>
      </c>
    </row>
    <row r="1544" spans="1:2" x14ac:dyDescent="0.3">
      <c r="A1544" s="42">
        <v>4265</v>
      </c>
      <c r="B1544" s="40" t="s">
        <v>1650</v>
      </c>
    </row>
    <row r="1545" spans="1:2" x14ac:dyDescent="0.3">
      <c r="A1545" s="42">
        <v>4266</v>
      </c>
      <c r="B1545" s="40" t="s">
        <v>1127</v>
      </c>
    </row>
    <row r="1546" spans="1:2" x14ac:dyDescent="0.3">
      <c r="A1546" s="42">
        <v>4267</v>
      </c>
      <c r="B1546" s="40" t="s">
        <v>1651</v>
      </c>
    </row>
    <row r="1547" spans="1:2" x14ac:dyDescent="0.3">
      <c r="A1547" s="42">
        <v>4268</v>
      </c>
      <c r="B1547" s="40" t="s">
        <v>1652</v>
      </c>
    </row>
    <row r="1548" spans="1:2" x14ac:dyDescent="0.3">
      <c r="A1548" s="42">
        <v>4269</v>
      </c>
      <c r="B1548" s="40" t="s">
        <v>1653</v>
      </c>
    </row>
    <row r="1549" spans="1:2" x14ac:dyDescent="0.3">
      <c r="A1549" s="42">
        <v>4270</v>
      </c>
      <c r="B1549" s="40" t="s">
        <v>1654</v>
      </c>
    </row>
    <row r="1550" spans="1:2" x14ac:dyDescent="0.3">
      <c r="A1550" s="42">
        <v>4271</v>
      </c>
      <c r="B1550" s="40" t="s">
        <v>1655</v>
      </c>
    </row>
    <row r="1551" spans="1:2" x14ac:dyDescent="0.3">
      <c r="A1551" s="42">
        <v>4272</v>
      </c>
      <c r="B1551" s="40" t="s">
        <v>1656</v>
      </c>
    </row>
    <row r="1552" spans="1:2" x14ac:dyDescent="0.3">
      <c r="A1552" s="42">
        <v>4273</v>
      </c>
      <c r="B1552" s="40" t="s">
        <v>1657</v>
      </c>
    </row>
    <row r="1553" spans="1:2" x14ac:dyDescent="0.3">
      <c r="A1553" s="42">
        <v>4274</v>
      </c>
      <c r="B1553" s="40" t="s">
        <v>1658</v>
      </c>
    </row>
    <row r="1554" spans="1:2" x14ac:dyDescent="0.3">
      <c r="A1554" s="42">
        <v>9900</v>
      </c>
      <c r="B1554" s="40" t="s">
        <v>1317</v>
      </c>
    </row>
    <row r="1555" spans="1:2" x14ac:dyDescent="0.3">
      <c r="A1555" s="42">
        <v>9901</v>
      </c>
      <c r="B1555" s="40" t="s">
        <v>1318</v>
      </c>
    </row>
    <row r="1556" spans="1:2" x14ac:dyDescent="0.3">
      <c r="A1556" s="42">
        <v>9902</v>
      </c>
      <c r="B1556" s="40" t="s">
        <v>1319</v>
      </c>
    </row>
    <row r="1557" spans="1:2" x14ac:dyDescent="0.3">
      <c r="A1557" s="42">
        <v>9903</v>
      </c>
      <c r="B1557" s="40" t="s">
        <v>1320</v>
      </c>
    </row>
    <row r="1558" spans="1:2" x14ac:dyDescent="0.3">
      <c r="A1558" s="42">
        <v>9904</v>
      </c>
      <c r="B1558" s="40" t="s">
        <v>1321</v>
      </c>
    </row>
    <row r="1559" spans="1:2" x14ac:dyDescent="0.3">
      <c r="A1559" s="42">
        <v>9905</v>
      </c>
      <c r="B1559" s="40" t="s">
        <v>1322</v>
      </c>
    </row>
    <row r="1560" spans="1:2" x14ac:dyDescent="0.3">
      <c r="A1560" s="42">
        <v>9906</v>
      </c>
      <c r="B1560" s="40" t="s">
        <v>1336</v>
      </c>
    </row>
    <row r="1561" spans="1:2" x14ac:dyDescent="0.3">
      <c r="A1561" s="42">
        <v>9907</v>
      </c>
      <c r="B1561" s="40" t="s">
        <v>1334</v>
      </c>
    </row>
    <row r="1562" spans="1:2" x14ac:dyDescent="0.3">
      <c r="A1562" s="42">
        <v>9908</v>
      </c>
      <c r="B1562" s="40" t="s">
        <v>1335</v>
      </c>
    </row>
    <row r="1563" spans="1:2" x14ac:dyDescent="0.3">
      <c r="A1563" s="42">
        <v>9990</v>
      </c>
      <c r="B1563" s="40" t="s">
        <v>1323</v>
      </c>
    </row>
    <row r="1564" spans="1:2" x14ac:dyDescent="0.3">
      <c r="A1564" s="42">
        <v>9999</v>
      </c>
      <c r="B1564" s="40" t="s">
        <v>1324</v>
      </c>
    </row>
  </sheetData>
  <dataConsolidate/>
  <dataValidations count="1">
    <dataValidation type="custom" allowBlank="1" showInputMessage="1" showErrorMessage="1" sqref="B1433:B1553" xr:uid="{CCFD2070-8B8D-427E-96E4-B32BE54DFF45}">
      <formula1>NOT(LEN(SUBSTITUTE(SUBSTITUTE(SUBSTITUTE(SUBSTITUTE(SUBSTITUTE(SUBSTITUTE(B1433,"æ","ae"),"Æ","Ae"),"ø","oe"),"Ø","Oe"),"å","aa"),"Å","Aa"))&gt;60)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E1049-90C7-44C9-B102-2D846C44015A}">
  <sheetPr codeName="Ark8">
    <pageSetUpPr autoPageBreaks="0"/>
  </sheetPr>
  <dimension ref="A1:D55"/>
  <sheetViews>
    <sheetView topLeftCell="A41" workbookViewId="0">
      <selection activeCell="D53" sqref="D53"/>
    </sheetView>
  </sheetViews>
  <sheetFormatPr defaultRowHeight="14.4" x14ac:dyDescent="0.3"/>
  <cols>
    <col min="1" max="1" width="7.109375" bestFit="1" customWidth="1"/>
    <col min="2" max="2" width="10.5546875" bestFit="1" customWidth="1"/>
    <col min="3" max="3" width="15.88671875" bestFit="1" customWidth="1"/>
    <col min="4" max="4" width="86.109375" customWidth="1"/>
  </cols>
  <sheetData>
    <row r="1" spans="1:4" ht="15" thickBot="1" x14ac:dyDescent="0.35">
      <c r="A1" s="33" t="s">
        <v>36</v>
      </c>
      <c r="B1" s="34" t="s">
        <v>37</v>
      </c>
      <c r="C1" s="34" t="s">
        <v>38</v>
      </c>
      <c r="D1" s="35" t="s">
        <v>39</v>
      </c>
    </row>
    <row r="2" spans="1:4" x14ac:dyDescent="0.3">
      <c r="A2" s="66" t="s">
        <v>41</v>
      </c>
      <c r="B2" s="67">
        <v>43864</v>
      </c>
      <c r="C2" s="68" t="s">
        <v>40</v>
      </c>
      <c r="D2" s="69" t="s">
        <v>42</v>
      </c>
    </row>
    <row r="3" spans="1:4" x14ac:dyDescent="0.3">
      <c r="A3" s="66" t="s">
        <v>43</v>
      </c>
      <c r="B3" s="67">
        <v>43865</v>
      </c>
      <c r="C3" s="68" t="s">
        <v>40</v>
      </c>
      <c r="D3" s="69" t="s">
        <v>44</v>
      </c>
    </row>
    <row r="4" spans="1:4" ht="28.8" x14ac:dyDescent="0.3">
      <c r="A4" s="66" t="s">
        <v>45</v>
      </c>
      <c r="B4" s="67">
        <v>43865</v>
      </c>
      <c r="C4" s="68" t="s">
        <v>40</v>
      </c>
      <c r="D4" s="69" t="s">
        <v>46</v>
      </c>
    </row>
    <row r="5" spans="1:4" x14ac:dyDescent="0.3">
      <c r="A5" s="66" t="s">
        <v>47</v>
      </c>
      <c r="B5" s="67">
        <v>43865</v>
      </c>
      <c r="C5" s="68" t="s">
        <v>40</v>
      </c>
      <c r="D5" s="69" t="s">
        <v>48</v>
      </c>
    </row>
    <row r="6" spans="1:4" ht="28.8" x14ac:dyDescent="0.3">
      <c r="A6" s="66" t="s">
        <v>49</v>
      </c>
      <c r="B6" s="67">
        <v>43871</v>
      </c>
      <c r="C6" s="68" t="s">
        <v>40</v>
      </c>
      <c r="D6" s="69" t="s">
        <v>52</v>
      </c>
    </row>
    <row r="7" spans="1:4" ht="16.5" customHeight="1" x14ac:dyDescent="0.3">
      <c r="A7" s="66" t="s">
        <v>50</v>
      </c>
      <c r="B7" s="67">
        <v>43872</v>
      </c>
      <c r="C7" s="68" t="s">
        <v>40</v>
      </c>
      <c r="D7" s="69" t="s">
        <v>51</v>
      </c>
    </row>
    <row r="8" spans="1:4" ht="43.2" x14ac:dyDescent="0.3">
      <c r="A8" s="66" t="s">
        <v>53</v>
      </c>
      <c r="B8" s="67">
        <v>43874</v>
      </c>
      <c r="C8" s="68" t="s">
        <v>40</v>
      </c>
      <c r="D8" s="69" t="s">
        <v>54</v>
      </c>
    </row>
    <row r="9" spans="1:4" x14ac:dyDescent="0.3">
      <c r="A9" s="66" t="s">
        <v>55</v>
      </c>
      <c r="B9" s="67">
        <v>43879</v>
      </c>
      <c r="C9" s="68" t="s">
        <v>40</v>
      </c>
      <c r="D9" s="69" t="s">
        <v>56</v>
      </c>
    </row>
    <row r="10" spans="1:4" x14ac:dyDescent="0.3">
      <c r="A10" s="66" t="s">
        <v>57</v>
      </c>
      <c r="B10" s="67">
        <v>43881</v>
      </c>
      <c r="C10" s="68" t="s">
        <v>40</v>
      </c>
      <c r="D10" s="69" t="s">
        <v>58</v>
      </c>
    </row>
    <row r="11" spans="1:4" x14ac:dyDescent="0.3">
      <c r="A11" s="66" t="s">
        <v>59</v>
      </c>
      <c r="B11" s="67">
        <v>43908</v>
      </c>
      <c r="C11" s="68" t="s">
        <v>40</v>
      </c>
      <c r="D11" s="69" t="s">
        <v>60</v>
      </c>
    </row>
    <row r="12" spans="1:4" ht="28.8" x14ac:dyDescent="0.3">
      <c r="A12" s="66" t="s">
        <v>61</v>
      </c>
      <c r="B12" s="67">
        <v>43985</v>
      </c>
      <c r="C12" s="68" t="s">
        <v>40</v>
      </c>
      <c r="D12" s="69" t="s">
        <v>62</v>
      </c>
    </row>
    <row r="13" spans="1:4" x14ac:dyDescent="0.3">
      <c r="A13" s="66" t="s">
        <v>63</v>
      </c>
      <c r="B13" s="67">
        <v>44082</v>
      </c>
      <c r="C13" s="68" t="s">
        <v>40</v>
      </c>
      <c r="D13" s="69" t="s">
        <v>64</v>
      </c>
    </row>
    <row r="14" spans="1:4" ht="72" x14ac:dyDescent="0.3">
      <c r="A14" s="66" t="s">
        <v>65</v>
      </c>
      <c r="B14" s="67">
        <v>44083</v>
      </c>
      <c r="C14" s="68" t="s">
        <v>40</v>
      </c>
      <c r="D14" s="69" t="s">
        <v>66</v>
      </c>
    </row>
    <row r="15" spans="1:4" ht="28.8" x14ac:dyDescent="0.3">
      <c r="A15" s="66" t="s">
        <v>68</v>
      </c>
      <c r="B15" s="67">
        <v>44090</v>
      </c>
      <c r="C15" s="68" t="s">
        <v>40</v>
      </c>
      <c r="D15" s="69" t="s">
        <v>67</v>
      </c>
    </row>
    <row r="16" spans="1:4" ht="43.2" x14ac:dyDescent="0.3">
      <c r="A16" s="66" t="s">
        <v>69</v>
      </c>
      <c r="B16" s="67">
        <v>44117</v>
      </c>
      <c r="C16" s="68" t="s">
        <v>40</v>
      </c>
      <c r="D16" s="69" t="s">
        <v>70</v>
      </c>
    </row>
    <row r="17" spans="1:4" ht="28.8" x14ac:dyDescent="0.3">
      <c r="A17" s="66" t="s">
        <v>71</v>
      </c>
      <c r="B17" s="67">
        <v>44119</v>
      </c>
      <c r="C17" s="68" t="s">
        <v>40</v>
      </c>
      <c r="D17" s="69" t="s">
        <v>1325</v>
      </c>
    </row>
    <row r="18" spans="1:4" ht="28.8" x14ac:dyDescent="0.3">
      <c r="A18" s="66" t="s">
        <v>1326</v>
      </c>
      <c r="B18" s="67">
        <v>44125</v>
      </c>
      <c r="C18" s="68" t="s">
        <v>40</v>
      </c>
      <c r="D18" s="69" t="s">
        <v>1327</v>
      </c>
    </row>
    <row r="19" spans="1:4" x14ac:dyDescent="0.3">
      <c r="A19" s="66" t="s">
        <v>1329</v>
      </c>
      <c r="B19" s="67">
        <v>44160</v>
      </c>
      <c r="C19" s="68" t="s">
        <v>40</v>
      </c>
      <c r="D19" s="69" t="s">
        <v>1330</v>
      </c>
    </row>
    <row r="20" spans="1:4" x14ac:dyDescent="0.3">
      <c r="A20" s="66" t="s">
        <v>1337</v>
      </c>
      <c r="B20" s="67">
        <v>44223</v>
      </c>
      <c r="C20" s="68" t="s">
        <v>40</v>
      </c>
      <c r="D20" s="69" t="s">
        <v>1338</v>
      </c>
    </row>
    <row r="21" spans="1:4" ht="28.8" x14ac:dyDescent="0.3">
      <c r="A21" s="66" t="s">
        <v>1373</v>
      </c>
      <c r="B21" s="67">
        <v>44238</v>
      </c>
      <c r="C21" s="68" t="s">
        <v>40</v>
      </c>
      <c r="D21" s="69" t="s">
        <v>1374</v>
      </c>
    </row>
    <row r="22" spans="1:4" x14ac:dyDescent="0.3">
      <c r="A22" s="66" t="s">
        <v>1375</v>
      </c>
      <c r="B22" s="67">
        <v>44271</v>
      </c>
      <c r="C22" s="68" t="s">
        <v>40</v>
      </c>
      <c r="D22" s="69" t="s">
        <v>1379</v>
      </c>
    </row>
    <row r="23" spans="1:4" ht="28.8" x14ac:dyDescent="0.3">
      <c r="A23" s="66" t="s">
        <v>1380</v>
      </c>
      <c r="B23" s="67">
        <v>44364</v>
      </c>
      <c r="C23" s="68" t="s">
        <v>40</v>
      </c>
      <c r="D23" s="69" t="s">
        <v>1417</v>
      </c>
    </row>
    <row r="24" spans="1:4" ht="100.8" x14ac:dyDescent="0.3">
      <c r="A24" s="66" t="s">
        <v>1418</v>
      </c>
      <c r="B24" s="67">
        <v>44390</v>
      </c>
      <c r="C24" s="68" t="s">
        <v>40</v>
      </c>
      <c r="D24" s="69" t="s">
        <v>1420</v>
      </c>
    </row>
    <row r="25" spans="1:4" ht="115.2" x14ac:dyDescent="0.3">
      <c r="A25" s="66" t="s">
        <v>1424</v>
      </c>
      <c r="B25" s="67">
        <v>44446</v>
      </c>
      <c r="C25" s="68" t="s">
        <v>40</v>
      </c>
      <c r="D25" s="69" t="s">
        <v>1428</v>
      </c>
    </row>
    <row r="26" spans="1:4" ht="28.8" x14ac:dyDescent="0.3">
      <c r="A26" s="66" t="s">
        <v>1469</v>
      </c>
      <c r="B26" s="67">
        <v>44544</v>
      </c>
      <c r="C26" s="68" t="s">
        <v>40</v>
      </c>
      <c r="D26" s="69" t="s">
        <v>1470</v>
      </c>
    </row>
    <row r="27" spans="1:4" ht="43.2" x14ac:dyDescent="0.3">
      <c r="A27" s="66" t="s">
        <v>1472</v>
      </c>
      <c r="B27" s="67">
        <v>44567</v>
      </c>
      <c r="C27" s="68" t="s">
        <v>40</v>
      </c>
      <c r="D27" s="69" t="s">
        <v>1473</v>
      </c>
    </row>
    <row r="28" spans="1:4" x14ac:dyDescent="0.3">
      <c r="A28" s="66" t="s">
        <v>1477</v>
      </c>
      <c r="B28" s="67">
        <v>44596</v>
      </c>
      <c r="C28" s="68" t="s">
        <v>40</v>
      </c>
      <c r="D28" s="69" t="s">
        <v>1478</v>
      </c>
    </row>
    <row r="29" spans="1:4" x14ac:dyDescent="0.3">
      <c r="A29" s="66" t="s">
        <v>1479</v>
      </c>
      <c r="B29" s="67">
        <v>44602</v>
      </c>
      <c r="C29" s="68" t="s">
        <v>40</v>
      </c>
      <c r="D29" s="69" t="s">
        <v>1480</v>
      </c>
    </row>
    <row r="30" spans="1:4" ht="28.8" x14ac:dyDescent="0.3">
      <c r="A30" s="66" t="s">
        <v>1481</v>
      </c>
      <c r="B30" s="67">
        <v>44610</v>
      </c>
      <c r="C30" s="68" t="s">
        <v>40</v>
      </c>
      <c r="D30" s="69" t="s">
        <v>1482</v>
      </c>
    </row>
    <row r="31" spans="1:4" x14ac:dyDescent="0.3">
      <c r="A31" s="66" t="s">
        <v>1483</v>
      </c>
      <c r="B31" s="67">
        <v>44616</v>
      </c>
      <c r="C31" s="68" t="s">
        <v>40</v>
      </c>
      <c r="D31" s="69" t="s">
        <v>1484</v>
      </c>
    </row>
    <row r="32" spans="1:4" ht="43.2" x14ac:dyDescent="0.3">
      <c r="A32" s="66" t="s">
        <v>1485</v>
      </c>
      <c r="B32" s="67">
        <v>44699</v>
      </c>
      <c r="C32" s="68" t="s">
        <v>40</v>
      </c>
      <c r="D32" s="69" t="s">
        <v>1486</v>
      </c>
    </row>
    <row r="33" spans="1:4" x14ac:dyDescent="0.3">
      <c r="A33" s="66" t="s">
        <v>1502</v>
      </c>
      <c r="B33" s="67">
        <v>44705</v>
      </c>
      <c r="C33" s="68" t="s">
        <v>40</v>
      </c>
      <c r="D33" s="69" t="s">
        <v>1503</v>
      </c>
    </row>
    <row r="34" spans="1:4" ht="28.8" x14ac:dyDescent="0.3">
      <c r="A34" s="66" t="s">
        <v>1504</v>
      </c>
      <c r="B34" s="67">
        <v>44713</v>
      </c>
      <c r="C34" s="68" t="s">
        <v>40</v>
      </c>
      <c r="D34" s="70" t="s">
        <v>1505</v>
      </c>
    </row>
    <row r="35" spans="1:4" x14ac:dyDescent="0.3">
      <c r="A35" s="66" t="s">
        <v>1506</v>
      </c>
      <c r="B35" s="67">
        <v>44719</v>
      </c>
      <c r="C35" s="68" t="s">
        <v>40</v>
      </c>
      <c r="D35" s="70" t="s">
        <v>1507</v>
      </c>
    </row>
    <row r="36" spans="1:4" x14ac:dyDescent="0.3">
      <c r="A36" s="66" t="s">
        <v>1508</v>
      </c>
      <c r="B36" s="67">
        <v>44720</v>
      </c>
      <c r="C36" s="68" t="s">
        <v>40</v>
      </c>
      <c r="D36" s="70" t="s">
        <v>1509</v>
      </c>
    </row>
    <row r="37" spans="1:4" x14ac:dyDescent="0.3">
      <c r="A37" s="66" t="s">
        <v>1510</v>
      </c>
      <c r="B37" s="67">
        <v>44802</v>
      </c>
      <c r="C37" s="68" t="s">
        <v>40</v>
      </c>
      <c r="D37" s="70" t="s">
        <v>1511</v>
      </c>
    </row>
    <row r="38" spans="1:4" x14ac:dyDescent="0.3">
      <c r="A38" s="66" t="s">
        <v>1532</v>
      </c>
      <c r="B38" s="67">
        <v>44830</v>
      </c>
      <c r="C38" s="68" t="s">
        <v>40</v>
      </c>
      <c r="D38" s="69" t="s">
        <v>1533</v>
      </c>
    </row>
    <row r="39" spans="1:4" x14ac:dyDescent="0.3">
      <c r="A39" s="66" t="s">
        <v>1534</v>
      </c>
      <c r="B39" s="67">
        <v>44837</v>
      </c>
      <c r="C39" s="68" t="s">
        <v>40</v>
      </c>
      <c r="D39" s="69" t="s">
        <v>1535</v>
      </c>
    </row>
    <row r="40" spans="1:4" ht="28.8" x14ac:dyDescent="0.3">
      <c r="A40" s="66" t="s">
        <v>1536</v>
      </c>
      <c r="B40" s="67">
        <v>44858</v>
      </c>
      <c r="C40" s="68" t="s">
        <v>40</v>
      </c>
      <c r="D40" s="69" t="s">
        <v>1537</v>
      </c>
    </row>
    <row r="41" spans="1:4" ht="43.2" x14ac:dyDescent="0.3">
      <c r="A41" s="66" t="s">
        <v>1538</v>
      </c>
      <c r="B41" s="67">
        <v>44880</v>
      </c>
      <c r="C41" s="68" t="s">
        <v>40</v>
      </c>
      <c r="D41" s="69" t="s">
        <v>1539</v>
      </c>
    </row>
    <row r="42" spans="1:4" x14ac:dyDescent="0.3">
      <c r="A42" s="66" t="s">
        <v>1540</v>
      </c>
      <c r="B42" s="67">
        <v>44902</v>
      </c>
      <c r="C42" s="68" t="s">
        <v>40</v>
      </c>
      <c r="D42" s="69" t="s">
        <v>1541</v>
      </c>
    </row>
    <row r="43" spans="1:4" x14ac:dyDescent="0.3">
      <c r="A43" s="66" t="s">
        <v>1659</v>
      </c>
      <c r="B43" s="67">
        <v>44928</v>
      </c>
      <c r="C43" s="68" t="s">
        <v>40</v>
      </c>
      <c r="D43" s="69" t="s">
        <v>1660</v>
      </c>
    </row>
    <row r="44" spans="1:4" x14ac:dyDescent="0.3">
      <c r="A44" s="66" t="s">
        <v>1662</v>
      </c>
      <c r="B44" s="67">
        <v>44973</v>
      </c>
      <c r="C44" s="68" t="s">
        <v>40</v>
      </c>
      <c r="D44" s="69" t="s">
        <v>1663</v>
      </c>
    </row>
    <row r="45" spans="1:4" ht="43.2" x14ac:dyDescent="0.3">
      <c r="A45" s="66" t="s">
        <v>1669</v>
      </c>
      <c r="B45" s="67">
        <v>44986</v>
      </c>
      <c r="C45" s="68" t="s">
        <v>40</v>
      </c>
      <c r="D45" s="69" t="s">
        <v>1671</v>
      </c>
    </row>
    <row r="46" spans="1:4" x14ac:dyDescent="0.3">
      <c r="A46" s="65" t="s">
        <v>1673</v>
      </c>
      <c r="B46" s="37">
        <v>45548</v>
      </c>
      <c r="C46" s="38" t="s">
        <v>40</v>
      </c>
      <c r="D46" s="39" t="s">
        <v>1674</v>
      </c>
    </row>
    <row r="47" spans="1:4" x14ac:dyDescent="0.3">
      <c r="A47" s="65" t="s">
        <v>1675</v>
      </c>
      <c r="B47" s="37">
        <v>45548</v>
      </c>
      <c r="C47" s="38" t="s">
        <v>40</v>
      </c>
      <c r="D47" s="39" t="s">
        <v>1676</v>
      </c>
    </row>
    <row r="48" spans="1:4" x14ac:dyDescent="0.3">
      <c r="A48" s="65" t="s">
        <v>1677</v>
      </c>
      <c r="B48" s="37">
        <v>45666</v>
      </c>
      <c r="C48" s="38" t="s">
        <v>40</v>
      </c>
      <c r="D48" s="39" t="s">
        <v>1679</v>
      </c>
    </row>
    <row r="49" spans="1:4" x14ac:dyDescent="0.3">
      <c r="A49" s="65" t="s">
        <v>1678</v>
      </c>
      <c r="B49" s="37">
        <v>45666</v>
      </c>
      <c r="C49" s="38" t="s">
        <v>40</v>
      </c>
      <c r="D49" s="39" t="s">
        <v>1680</v>
      </c>
    </row>
    <row r="50" spans="1:4" x14ac:dyDescent="0.3">
      <c r="A50" s="65" t="s">
        <v>1681</v>
      </c>
      <c r="B50" s="37">
        <v>45694</v>
      </c>
      <c r="C50" s="38" t="s">
        <v>40</v>
      </c>
      <c r="D50" s="39" t="s">
        <v>1682</v>
      </c>
    </row>
    <row r="51" spans="1:4" ht="43.2" x14ac:dyDescent="0.3">
      <c r="A51" s="65" t="s">
        <v>1687</v>
      </c>
      <c r="B51" s="37">
        <v>45982</v>
      </c>
      <c r="C51" s="38" t="s">
        <v>40</v>
      </c>
      <c r="D51" s="39" t="s">
        <v>1688</v>
      </c>
    </row>
    <row r="52" spans="1:4" ht="72" x14ac:dyDescent="0.3">
      <c r="A52" s="65" t="s">
        <v>1689</v>
      </c>
      <c r="B52" s="37">
        <v>45985</v>
      </c>
      <c r="C52" s="38" t="s">
        <v>40</v>
      </c>
      <c r="D52" s="39" t="s">
        <v>1690</v>
      </c>
    </row>
    <row r="53" spans="1:4" x14ac:dyDescent="0.3">
      <c r="A53" s="65" t="s">
        <v>1692</v>
      </c>
      <c r="B53" s="37">
        <v>45986</v>
      </c>
      <c r="C53" s="38" t="s">
        <v>40</v>
      </c>
      <c r="D53" s="39" t="s">
        <v>1693</v>
      </c>
    </row>
    <row r="55" spans="1:4" x14ac:dyDescent="0.3">
      <c r="D55" s="73"/>
    </row>
  </sheetData>
  <phoneticPr fontId="13" type="noConversion"/>
  <pageMargins left="0.7" right="0.7" top="0.75" bottom="0.75" header="0.3" footer="0.3"/>
  <pageSetup paperSize="9" orientation="portrait" r:id="rId1"/>
</worksheet>
</file>

<file path=docMetadata/LabelInfo.xml><?xml version="1.0" encoding="utf-8"?>
<clbl:labelList xmlns:clbl="http://schemas.microsoft.com/office/2020/mipLabelMetadata">
  <clbl:label id="{7f79d73b-6a7a-4260-851c-2db4f77b37d6}" enabled="1" method="Standard" siteId="{2e93f0ed-ff36-46d4-9ce6-e0d902050cf5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Test</vt:lpstr>
      <vt:lpstr>FH-IDs</vt:lpstr>
      <vt:lpstr>Version</vt:lpstr>
    </vt:vector>
  </TitlesOfParts>
  <Company>skat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Petersen</dc:creator>
  <cp:lastModifiedBy>Thomas Petersen</cp:lastModifiedBy>
  <cp:lastPrinted>2020-10-21T11:33:55Z</cp:lastPrinted>
  <dcterms:created xsi:type="dcterms:W3CDTF">2019-08-26T11:47:02Z</dcterms:created>
  <dcterms:modified xsi:type="dcterms:W3CDTF">2025-11-25T13:21:02Z</dcterms:modified>
</cp:coreProperties>
</file>