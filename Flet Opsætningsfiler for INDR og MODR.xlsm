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enne_projektmappe"/>
  <mc:AlternateContent xmlns:mc="http://schemas.openxmlformats.org/markup-compatibility/2006">
    <mc:Choice Requires="x15">
      <x15ac:absPath xmlns:x15ac="http://schemas.microsoft.com/office/spreadsheetml/2010/11/ac" url="https://skat-my.sharepoint.com/personal/tp_ufst_dk/Documents/Indgangsfilter/Repos/Filteropsætter - Develop/"/>
    </mc:Choice>
  </mc:AlternateContent>
  <xr:revisionPtr revIDLastSave="30" documentId="8_{2D39FEA0-E1C8-44FB-9552-20AA6296694B}" xr6:coauthVersionLast="47" xr6:coauthVersionMax="47" xr10:uidLastSave="{DDF4FBBC-8837-4693-AEE4-E753BDBE5990}"/>
  <bookViews>
    <workbookView xWindow="-108" yWindow="-108" windowWidth="23256" windowHeight="12456" xr2:uid="{9A1F5CEF-9641-4DB0-AE8F-EECDA759C0BC}"/>
  </bookViews>
  <sheets>
    <sheet name="Start" sheetId="5" r:id="rId1"/>
    <sheet name="Formulering" sheetId="3" r:id="rId2"/>
    <sheet name="Configuration" sheetId="2" r:id="rId3"/>
    <sheet name="Specification" sheetId="4" r:id="rId4"/>
    <sheet name="Version" sheetId="8" r:id="rId5"/>
  </sheets>
  <functionGroups builtInGroupCount="19"/>
  <definedNames>
    <definedName name="EksterneData_1" localSheetId="2" hidden="1">'Configuration'!$A$1:$T$70</definedName>
    <definedName name="EksterneData_2" localSheetId="1" hidden="1">Formulering!$A$1:$E$29</definedName>
    <definedName name="EksterneData_3" localSheetId="3" hidden="1">Specification!$A$1:$F$2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5" l="1"/>
  <c r="J7" i="5"/>
  <c r="J4" i="5"/>
  <c r="B1" i="5"/>
  <c r="F7" i="5"/>
  <c r="C7" i="5" s="1"/>
  <c r="C4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8EC7B61-3904-4CD8-89E9-5F59BBE9EA5C}" keepAlive="1" name="Forespørgsel - Configuration" description="Forbindelse til forespørgslen 'Configuration' i projektmappen." type="5" refreshedVersion="8" background="1" saveData="1">
    <dbPr connection="Provider=Microsoft.Mashup.OleDb.1;Data Source=$Workbook$;Location=Configuration;Extended Properties=&quot;&quot;" command="SELECT * FROM [Configuration]"/>
  </connection>
  <connection id="2" xr16:uid="{B34D381A-4784-4979-9500-3883FD7A280D}" keepAlive="1" name="Forespørgsel - FilStiIndr" description="Forbindelse til forespørgslen 'FilStiIndr' i projektmappen." type="5" refreshedVersion="0" background="1">
    <dbPr connection="Provider=Microsoft.Mashup.OleDb.1;Data Source=$Workbook$;Location=FilStiIndr;Extended Properties=&quot;&quot;" command="SELECT * FROM [FilStiIndr]"/>
  </connection>
  <connection id="3" xr16:uid="{B36EACFF-780E-4AF5-A830-950C58B05333}" keepAlive="1" name="Forespørgsel - FilStiModr" description="Forbindelse til forespørgslen 'FilStiModr' i projektmappen." type="5" refreshedVersion="0" background="1">
    <dbPr connection="Provider=Microsoft.Mashup.OleDb.1;Data Source=$Workbook$;Location=FilStiModr;Extended Properties=&quot;&quot;" command="SELECT * FROM [FilStiModr]"/>
  </connection>
  <connection id="4" xr16:uid="{CDBF23E2-96B1-4D5A-B95B-84BE06C17CA2}" keepAlive="1" name="Forespørgsel - Formulering" description="Forbindelse til forespørgslen 'Formulering' i projektmappen." type="5" refreshedVersion="8" background="1" saveData="1">
    <dbPr connection="Provider=Microsoft.Mashup.OleDb.1;Data Source=$Workbook$;Location=Formulering;Extended Properties=&quot;&quot;" command="SELECT * FROM [Formulering]"/>
  </connection>
  <connection id="5" xr16:uid="{0FCFAED4-A758-4313-BFD9-CE678E40E708}" keepAlive="1" name="Forespørgsel - funkINDR" description="Forbindelse til forespørgslen 'funkINDR' i projektmappen." type="5" refreshedVersion="0" background="1">
    <dbPr connection="Provider=Microsoft.Mashup.OleDb.1;Data Source=$Workbook$;Location=funkINDR;Extended Properties=&quot;&quot;" command="SELECT * FROM [funkINDR]"/>
  </connection>
  <connection id="6" xr16:uid="{32AFB960-F4BA-46EF-860D-B0AD22194867}" keepAlive="1" name="Forespørgsel - funkMODR" description="Forbindelse til forespørgslen 'funkMODR' i projektmappen." type="5" refreshedVersion="0" background="1">
    <dbPr connection="Provider=Microsoft.Mashup.OleDb.1;Data Source=$Workbook$;Location=funkMODR;Extended Properties=&quot;&quot;" command="SELECT * FROM [funkMODR]"/>
  </connection>
  <connection id="7" xr16:uid="{96293217-7A87-494C-96DC-9BCF1FF3901F}" keepAlive="1" name="Forespørgsel - Specification" description="Forbindelse til forespørgslen 'Specification' i projektmappen." type="5" refreshedVersion="8" background="1" saveData="1">
    <dbPr connection="Provider=Microsoft.Mashup.OleDb.1;Data Source=$Workbook$;Location=Specification;Extended Properties=&quot;&quot;" command="SELECT * FROM [Specification]"/>
  </connection>
</connections>
</file>

<file path=xl/sharedStrings.xml><?xml version="1.0" encoding="utf-8"?>
<sst xmlns="http://schemas.openxmlformats.org/spreadsheetml/2006/main" count="591" uniqueCount="262">
  <si>
    <t>ID</t>
  </si>
  <si>
    <t>Claimant</t>
  </si>
  <si>
    <t>ClaimType</t>
  </si>
  <si>
    <t>Rule</t>
  </si>
  <si>
    <t>Active</t>
  </si>
  <si>
    <t>Hard rule</t>
  </si>
  <si>
    <t>Quantity</t>
  </si>
  <si>
    <t>Amount</t>
  </si>
  <si>
    <t>Duration: Days</t>
  </si>
  <si>
    <t>Duration: Months</t>
  </si>
  <si>
    <t>Duration: Years</t>
  </si>
  <si>
    <t>Column12</t>
  </si>
  <si>
    <t>MODR.Active</t>
  </si>
  <si>
    <t>MODR.Hard rule</t>
  </si>
  <si>
    <t>MODR.Quantity</t>
  </si>
  <si>
    <t>MODR.Amount</t>
  </si>
  <si>
    <t>MODR.Duration: Days</t>
  </si>
  <si>
    <t>MODR.Duration: Months</t>
  </si>
  <si>
    <t>MODR.Duration: Years</t>
  </si>
  <si>
    <t>MODR.Column12</t>
  </si>
  <si>
    <t>R_2_2a</t>
  </si>
  <si>
    <t>Fordringens modtagelsesdato + [Duration] &lt;= FordringshaverForældelsesdato</t>
  </si>
  <si>
    <t>OFF</t>
  </si>
  <si>
    <t>R_2_2</t>
  </si>
  <si>
    <t xml:space="preserve">    FordringshaverForældelsesdato &lt;= Fordringens modtagelsesdato + [Duration] + hensyn til FOKO-lukkedage (Quantity != 0)</t>
  </si>
  <si>
    <t>R_2_3a</t>
  </si>
  <si>
    <t>Forfaldsdato + [Duration] &lt;= FordringshaverForældelsesdato</t>
  </si>
  <si>
    <t>ON</t>
  </si>
  <si>
    <t>YES</t>
  </si>
  <si>
    <t>R_2_3</t>
  </si>
  <si>
    <t xml:space="preserve">    FordringshaverForældelsesdato &lt;= Forfaldsdato + [Duration] + hensyn til FOKO-lukkedage (Quantity != 0)</t>
  </si>
  <si>
    <t>R_2_4a</t>
  </si>
  <si>
    <t>SRBdato + [Duration] &lt;= FordringshaverForældelsesdato</t>
  </si>
  <si>
    <t>R_2_4</t>
  </si>
  <si>
    <t xml:space="preserve">    FordringshaverForældelsesdato &lt;= SRBdato + [Duration] + hensyn til FOKO-lukkedage (Quantity != 0)</t>
  </si>
  <si>
    <t>R_2_5</t>
  </si>
  <si>
    <t>FordringsStartDato + [Duration] &lt;= FordringshaverForældelsesdato</t>
  </si>
  <si>
    <t>R_2_6</t>
  </si>
  <si>
    <t xml:space="preserve">    FordringshaverForældelsesdato &lt;= FordringsStartDato + [Duration] + hensyn til FOKO-lukkedage (Quantity != 0)</t>
  </si>
  <si>
    <t>R_2_7</t>
  </si>
  <si>
    <t>StiftelsesDato + [Duration] &lt;= FordringshaverForældelsesdato</t>
  </si>
  <si>
    <t>R_2_8</t>
  </si>
  <si>
    <t xml:space="preserve">    FordringshaverForældelsesdato &lt;= StiftelsesDato + [Duration] + hensyn til FOKO-lukkedage (Quantity != 0)</t>
  </si>
  <si>
    <t>R_3_2</t>
  </si>
  <si>
    <t>Fordringens modtagelsesdato &lt;= StiftelsesDato + [Duration] - (kan betinges af at FOKO er blank ved Quantity = 1)</t>
  </si>
  <si>
    <t>R_3_3</t>
  </si>
  <si>
    <t>Fordringens modtagelsesdato &lt;= ForfaldDato + [Duration] - (kan betinges af at FOKO er blank ved Quantity = 1)</t>
  </si>
  <si>
    <t>R_3_4a</t>
  </si>
  <si>
    <t>SRBDato + [Duration] &lt;= Fordringens modtagelsesdato - (kan betinges af at FOKO er blank ved Quantity = 1)</t>
  </si>
  <si>
    <t>R_3_4</t>
  </si>
  <si>
    <t>Fordringens modtagelsesdato &lt;= SRBDato + [Duration] - (kan betinges af at FOKO er blank ved Quantity = 1)</t>
  </si>
  <si>
    <t>R_3_5</t>
  </si>
  <si>
    <t>Fordringens modtagelsesdato &lt;= FordringsStartDato + [Duration] - (kan betinges af at FOKO er blank ved Quantity = 1)</t>
  </si>
  <si>
    <t>R_3_6</t>
  </si>
  <si>
    <t>Fordringens modtagelsesdato &lt;= FordringsSlutDato + [Duration] - (kan betinges af at FOKO er blank ved Quantity = 1)</t>
  </si>
  <si>
    <t>R_4_2</t>
  </si>
  <si>
    <t>[Quantity := 0] &lt;= Hovedstol &lt;= [Amount]</t>
  </si>
  <si>
    <t>R_4_3</t>
  </si>
  <si>
    <t>Hovedstol &lt;= PeriodDays * [Amount]</t>
  </si>
  <si>
    <t>R_4_5</t>
  </si>
  <si>
    <t>[Quantity := 0] &lt;= Fordringsbeløb &lt;= [Amount]</t>
  </si>
  <si>
    <t>R_4_6</t>
  </si>
  <si>
    <t>Fordringsbeløb &lt;= PeriodDays * [Amount]</t>
  </si>
  <si>
    <t>R_5_4</t>
  </si>
  <si>
    <t>FordringsStartDato &lt; Fordringens modtagelsesdato + [Duration]</t>
  </si>
  <si>
    <t>R_5_5</t>
  </si>
  <si>
    <t>FordringsSlutDato &lt; Fordringens modtagelsesdato + [Duration]</t>
  </si>
  <si>
    <t>R_6_1</t>
  </si>
  <si>
    <t>ForfaldDato + [Duration] &lt;= SRBDato</t>
  </si>
  <si>
    <t>R_6_2</t>
  </si>
  <si>
    <t xml:space="preserve">    SRBDato &lt;= ForfaldDato + [Duration]</t>
  </si>
  <si>
    <t>R_6_3</t>
  </si>
  <si>
    <t>StiftelsesDato + [Duration] &lt;= ForfaldDato</t>
  </si>
  <si>
    <t>R_6_4</t>
  </si>
  <si>
    <t xml:space="preserve">    ForfaldDato &lt;= StiftelsesDato + [Duration]</t>
  </si>
  <si>
    <t>R_6_5</t>
  </si>
  <si>
    <t>FordringsStartDato + [Duration] &lt;= ForfaldDato</t>
  </si>
  <si>
    <t>R_6_6</t>
  </si>
  <si>
    <t xml:space="preserve">    ForfaldDato &lt;= FordringsStartDato + [Duration]</t>
  </si>
  <si>
    <t>R_6_7</t>
  </si>
  <si>
    <t>FordringsSlutDato + [Duration] &lt;= ForfaldDato</t>
  </si>
  <si>
    <t>R_6_8</t>
  </si>
  <si>
    <t xml:space="preserve">    ForfaldDato &lt;= FordringsSlutDato + [Duration]</t>
  </si>
  <si>
    <t>R_6_9</t>
  </si>
  <si>
    <t>StiftelsesDato + [Duration] &lt;= SRBDato</t>
  </si>
  <si>
    <t>R_6_10</t>
  </si>
  <si>
    <t xml:space="preserve">    SRBDato &lt;= StiftelsesDato + [Duration]</t>
  </si>
  <si>
    <t>R_6_11</t>
  </si>
  <si>
    <t>FordringsStartDato + [Duration] &lt;= SRBDato</t>
  </si>
  <si>
    <t>R_6_12</t>
  </si>
  <si>
    <t xml:space="preserve">    SRBDato &lt;= FordringsStartDato + [Duration]</t>
  </si>
  <si>
    <t>R_6_13</t>
  </si>
  <si>
    <t xml:space="preserve">FordringsSlutDato + [Duration] &lt;= SRBDato </t>
  </si>
  <si>
    <t>R_6_14</t>
  </si>
  <si>
    <t xml:space="preserve">    SRBDato &lt;= FordringsSlutDato + [Duration]</t>
  </si>
  <si>
    <t>R_6_15</t>
  </si>
  <si>
    <t>FordringsStartDato + [Duration] &lt;= StiftelsesDato</t>
  </si>
  <si>
    <t>R_6_16</t>
  </si>
  <si>
    <t xml:space="preserve">     StiftelsesDato &lt;= FordringsStartDato + [Duration]</t>
  </si>
  <si>
    <t>R_6_17</t>
  </si>
  <si>
    <t xml:space="preserve">FordringsSlutDato + [Duration] &lt;= StiftelsesDato </t>
  </si>
  <si>
    <t>R_6_18</t>
  </si>
  <si>
    <t xml:space="preserve">    StiftelsesDato &lt;= FordringsSlutDato + [Duration]</t>
  </si>
  <si>
    <t>R_6_19</t>
  </si>
  <si>
    <t>FordringsStartDato + [Duration] &lt;= FordringsSlutDato</t>
  </si>
  <si>
    <t>R_6_20</t>
  </si>
  <si>
    <t xml:space="preserve">    FordringsSlutDato &lt;= FordringsStartDato + [Duration]</t>
  </si>
  <si>
    <t>R_6_21</t>
  </si>
  <si>
    <t>Start- og Slutdato er i samme [Quantity] {sum af 1: måned; 10: kvartal; 100: halvår; 1000: år; hvis 0: år}</t>
  </si>
  <si>
    <t>R_7_1</t>
  </si>
  <si>
    <t>Stiftelsesdato SKAL udfyldes (ikke banklukkedag, hvis Quantity = 1)</t>
  </si>
  <si>
    <t>R_7_2</t>
  </si>
  <si>
    <t>Forfaldsdato SKAL udfyldes</t>
  </si>
  <si>
    <t>R_7_3</t>
  </si>
  <si>
    <t>SRBdato SKAL udfyldes</t>
  </si>
  <si>
    <t>R_7_4</t>
  </si>
  <si>
    <t>FordringsStartDato SKAL udfyldes</t>
  </si>
  <si>
    <t>R_7_5</t>
  </si>
  <si>
    <t>FordringsSlutDato SKAL udfyldes</t>
  </si>
  <si>
    <t>R_7_6</t>
  </si>
  <si>
    <t>Stiftelsesdato må IKKE udfyldes</t>
  </si>
  <si>
    <t>R_7_7</t>
  </si>
  <si>
    <t>Forfaldsdato må IKKE udfyldes</t>
  </si>
  <si>
    <t>R_7_8</t>
  </si>
  <si>
    <t>SRBdato må IKKE udfyldes</t>
  </si>
  <si>
    <t>R_7_9</t>
  </si>
  <si>
    <t>FordringsStartDato må IKKE udfyldes</t>
  </si>
  <si>
    <t>R_7_10</t>
  </si>
  <si>
    <t>FordringsSlutDato må IKKE udfyldes</t>
  </si>
  <si>
    <t>R_7_11</t>
  </si>
  <si>
    <t>FordringsBeskrivelse SKAL udfyldes</t>
  </si>
  <si>
    <t>R_7_12</t>
  </si>
  <si>
    <t>Domsdato: [Quantity] xor Forligsdato: [Amount]; FOKO senest: 10 år + [Duration] + hensyn til FOKO-lukkedage ({Må IKKE:-1, KAN:0, SKAL:1}; default = 0)</t>
  </si>
  <si>
    <t>R_8_1</t>
  </si>
  <si>
    <t>FOR ALL Claims WHERE MainClaimID is Identical AND FordringsTypeKategori IN ("IR, "OR") No Periods May Overlap</t>
  </si>
  <si>
    <t>R_9_1</t>
  </si>
  <si>
    <t>count(Claims WHERE MainClaimID is Identical and FordringsTypeKategori = "OG") &lt;= [Quantity]</t>
  </si>
  <si>
    <t>R_9_2</t>
  </si>
  <si>
    <t>count(Claims WHERE MainClaimID is Identical and FordringsTypeCode = this) &lt;= [Quantity]</t>
  </si>
  <si>
    <t>R_10_1</t>
  </si>
  <si>
    <t>UF FordringensModtagelseDato &lt;= HF FordringensModtagelseDato + [Duration]</t>
  </si>
  <si>
    <t>R_10_2</t>
  </si>
  <si>
    <t>HF ForfaldDato + [Duration] &lt;= UF FordringensModtagelseDato</t>
  </si>
  <si>
    <t>R_10_3</t>
  </si>
  <si>
    <t xml:space="preserve">    UF FordringensModtagelseDato &lt;= HF ForfaldDato + [Duration]</t>
  </si>
  <si>
    <t>R_10_4</t>
  </si>
  <si>
    <t>UF StiftelseDato &lt;= HF FordringensModtagelseDato + [Duration]</t>
  </si>
  <si>
    <t>R_10_5</t>
  </si>
  <si>
    <t>HF ForfaldDato + [Duration] &lt;= UF ForfaldDato (IF Quantity = 1 THEN max is [Amount] days later)</t>
  </si>
  <si>
    <t>R_10_6</t>
  </si>
  <si>
    <t>HF ForfaldDato + [Duration] &lt;= UF StiftelseDato (IF Quantity = 1 THEN max is [Amount] days later)</t>
  </si>
  <si>
    <t>R_10_7</t>
  </si>
  <si>
    <t>HF ForfaldDato + [Duration] &lt;= UF FordringsStartDato (IF Quantity = 1 THEN max is [Amount] days later)</t>
  </si>
  <si>
    <t>R_10_8</t>
  </si>
  <si>
    <t>HF SRBDato + [Duration] &lt;= UF StiftelseDato (IF Quantity = 1 THEN max is [Amount] days later)</t>
  </si>
  <si>
    <t>R_10_9</t>
  </si>
  <si>
    <t>HF StiftelseDato + [Duration] &lt;= UF StiftelseDato (IF Quantity = 1 THEN max is [Amount] days later)</t>
  </si>
  <si>
    <t>R_10_10</t>
  </si>
  <si>
    <t>HF FordringsStartDato + [Duration] &lt;= UF FordringsStartDato (IF Quantity = 1 THEN max is [Amount] days later)</t>
  </si>
  <si>
    <t>Regel</t>
  </si>
  <si>
    <t>INDR:
Konsekvens hvis reglen ikke overholdes</t>
  </si>
  <si>
    <t>R_1_1</t>
  </si>
  <si>
    <t>Fordringsartkoden skal være "INDR" eller "MODR"</t>
  </si>
  <si>
    <t>Fordringen afvises</t>
  </si>
  <si>
    <t>R_1_2</t>
  </si>
  <si>
    <t>Fordringen skal altid være en hovedfordring</t>
  </si>
  <si>
    <t>R_2_1a</t>
  </si>
  <si>
    <t>Hvis domsdato eller forligsdato er udfyldt, skal forældelsesdato ligge tidligst 10 år efter domsdato eller forligsdato</t>
  </si>
  <si>
    <t>R_2_1b</t>
  </si>
  <si>
    <t>Hvis domsdato eller forligsdato er udfyldt, skal forældelsesdato ligge senest 10 år efter domsdato eller forligsdato</t>
  </si>
  <si>
    <t>Fordringen sendes i høring</t>
  </si>
  <si>
    <t>R_2_1</t>
  </si>
  <si>
    <t>Forældelsesdato skal være udfyldt</t>
  </si>
  <si>
    <t>Fordringen afvises*</t>
  </si>
  <si>
    <t>R_3_1</t>
  </si>
  <si>
    <t>Forældelsesdato skal ligge senere end eller være lig med modtagelsesdato hos Gældsstyrelsen</t>
  </si>
  <si>
    <t>R_4_1</t>
  </si>
  <si>
    <t>Oprindelig hovedstol skal være større end 0 kr. (dog tillades 0-fordringer)</t>
  </si>
  <si>
    <t>R_4_4</t>
  </si>
  <si>
    <t>Beløb skal være større end eller lig med 0 kr.</t>
  </si>
  <si>
    <t>R_4_7</t>
  </si>
  <si>
    <t>Oprindelig hovedstol skal være større end eller lig med beløb til inddrivelse</t>
  </si>
  <si>
    <t>R_5_1</t>
  </si>
  <si>
    <t>Forfaldsdato skal ligge forud for modtagelsesdato</t>
  </si>
  <si>
    <t>R_5_2</t>
  </si>
  <si>
    <t>Sidste rettidige betalingsdato skal ligge forud for modtagelsesdato</t>
  </si>
  <si>
    <t>R_5_3</t>
  </si>
  <si>
    <t>Stiftelsesdato skal ligge forud for modtagelsesdato</t>
  </si>
  <si>
    <t>Forfaldsdato skal være udfyldt</t>
  </si>
  <si>
    <t>Sidste rettidige betalingsdato skal være udfyldt</t>
  </si>
  <si>
    <t>R_7_12a</t>
  </si>
  <si>
    <t>Domsdato og forligsdato må ikke være udfyldt samtidigt</t>
  </si>
  <si>
    <t>MainClaim</t>
  </si>
  <si>
    <t>SendFoko</t>
  </si>
  <si>
    <t>Column5</t>
  </si>
  <si>
    <t>Filnavn</t>
  </si>
  <si>
    <t>Sti</t>
  </si>
  <si>
    <t>IndrFil</t>
  </si>
  <si>
    <t>ModrFil</t>
  </si>
  <si>
    <t>Fil</t>
  </si>
  <si>
    <t/>
  </si>
  <si>
    <t>Kommentar</t>
  </si>
  <si>
    <t>Senest 12 år</t>
  </si>
  <si>
    <t>Slukket</t>
  </si>
  <si>
    <t>MODR:
Divergerende opsætning - bortset fra at alle afviser</t>
  </si>
  <si>
    <t>Ret sti og filnavn til ønskede</t>
  </si>
  <si>
    <t>Stiftelsesdato skal være udfyldt</t>
  </si>
  <si>
    <t>Version</t>
  </si>
  <si>
    <t>Dato</t>
  </si>
  <si>
    <t>Name</t>
  </si>
  <si>
    <t>Changes</t>
  </si>
  <si>
    <t>1.1</t>
  </si>
  <si>
    <t>Thomas Petersen</t>
  </si>
  <si>
    <t>Første versionerede udgave</t>
  </si>
  <si>
    <t>Husk '.xlsx' endelse!</t>
  </si>
  <si>
    <t>Periode start skal være udfyldt</t>
  </si>
  <si>
    <t>Periode slut skal være udfyldt</t>
  </si>
  <si>
    <t>do</t>
  </si>
  <si>
    <t>1.2</t>
  </si>
  <si>
    <t>Fjern unødige forespørgsler; indlæg auto-hent af data ved tryk på Eksporter; Bypass save ved lukning, samt spørgsmål ved Gem</t>
  </si>
  <si>
    <t>1.3</t>
  </si>
  <si>
    <t>Makro der viser Forespørgsler og forbindelser ved åbning</t>
  </si>
  <si>
    <t>(Hentning kan ses på opgaverude 'Forespørgsler og forbindelser' ude til højre)</t>
  </si>
  <si>
    <t>Tryk Eksporter (opdaterer selv data) og vælg filnavn og sted for merge</t>
  </si>
  <si>
    <t>NO</t>
  </si>
  <si>
    <t>Til kopiering:</t>
  </si>
  <si>
    <t>1.4</t>
  </si>
  <si>
    <t>Tilføj knap til auto-dato-endelse af filnavn, samt lad sti til MODR linke til INDR's</t>
  </si>
  <si>
    <t>1.5</t>
  </si>
  <si>
    <t>Tilføj tjek for at alle tændte MODR-regler er hårde</t>
  </si>
  <si>
    <t xml:space="preserve"> - 2025-10-30 v0.xlsx</t>
  </si>
  <si>
    <t xml:space="preserve"> - 2025-10-30 v1.xlsx</t>
  </si>
  <si>
    <t>C:\Users\w22093\OneDrive - Skatteministeriet\Indgangsfilter\Repos\Filteropsætter - Develop\9999\</t>
  </si>
  <si>
    <t>Forældelsesdato skal senest ligge 3 år efter Sidste rettidige betalingsdato med hensyn til FOKO-lukkedage</t>
  </si>
  <si>
    <t>&lt;Kun INDR&gt;</t>
  </si>
  <si>
    <t>R_6_17
R_6_18</t>
  </si>
  <si>
    <t>Stiftelsesdato skal ligge 1 dag efter Periode slut</t>
  </si>
  <si>
    <t>Column6</t>
  </si>
  <si>
    <t>Fordringshaver-ID</t>
  </si>
  <si>
    <t>FOKO senest 3å efter SRB (med hensyn) [blød]</t>
  </si>
  <si>
    <t>Forældelsesdato skal tidligst ligge 3 år efter Sidste rettidige betalingsdato</t>
  </si>
  <si>
    <t>AHKURSG</t>
  </si>
  <si>
    <t>Filterregler for AHKURSG (Kursgevinstbeskatning)</t>
  </si>
  <si>
    <t>&lt;Kun MODR&gt;</t>
  </si>
  <si>
    <t>Forældelsesdato skal senest ligge 11 år, 8 måneder og 19 dage efter Periode start med hensyn til FOKO-lukkedage</t>
  </si>
  <si>
    <t>Sidste rettidige betalingsdato skal tidligst ligge 19 dage efter Forfaldsdato</t>
  </si>
  <si>
    <t>Sidste rettidige betalingsdato skal senest ligge 24 dage efter Forfaldsdato</t>
  </si>
  <si>
    <t>Forfaldsdato skal tidligst ligge 8 måneder efter Stiftelsesdato</t>
  </si>
  <si>
    <t>Forfaldsdato skal senest ligge 12 måneder efter Stiftelsesdato</t>
  </si>
  <si>
    <t>Periode slut skal tidligst ligge 1 år minus 1 dag efter Periode start</t>
  </si>
  <si>
    <t>Periode start og periode slut er indeholdt i samme år</t>
  </si>
  <si>
    <t>Kursgevinstbeskatning</t>
  </si>
  <si>
    <t>FOKO tidligst 3å efter SRB [hård]</t>
  </si>
  <si>
    <t>FOKO senest 11å+8m+19d efter FRA (med hensyn) [hård] (pga genoptagelser)</t>
  </si>
  <si>
    <t>SRB tidligst 19d efter FOF [hård]</t>
  </si>
  <si>
    <t>SRB senest 19+5d efter FOF [blød]</t>
  </si>
  <si>
    <t>FOF tidligst 8m efter STF (1sep) [hård]</t>
  </si>
  <si>
    <t>FOF senest 12m efter STF (skøn) [blød]</t>
  </si>
  <si>
    <t>STF 1d efter TIL (1jan efter periode) [hård]</t>
  </si>
  <si>
    <t>Periode 1kå [hård]</t>
  </si>
  <si>
    <t>1.6</t>
  </si>
  <si>
    <t>Tilføj BF for overflødige mellemrum i FT-kode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</si>
</sst>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sz val="10"/>
      <color theme="1"/>
      <name val="Arial Unicode MS"/>
    </font>
    <font>
      <sz val="8"/>
      <name val="Calibri"/>
      <family val="2"/>
    </font>
    <font>
      <sz val="11"/>
      <color theme="0" tint="-0.499984740745262"/>
      <name val="Calibri"/>
      <family val="2"/>
    </font>
    <font>
      <sz val="10"/>
      <color theme="0" tint="-0.499984740745262"/>
      <name val="Arial Unicode MS"/>
    </font>
  </fonts>
  <fills count="1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DDAD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2" fillId="2" borderId="1" xfId="0" applyFont="1" applyFill="1" applyBorder="1" applyAlignment="1">
      <alignment horizontal="center" textRotation="31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 textRotation="31"/>
    </xf>
    <xf numFmtId="0" fontId="0" fillId="0" borderId="0" xfId="0" applyAlignment="1">
      <alignment wrapText="1"/>
    </xf>
    <xf numFmtId="0" fontId="2" fillId="2" borderId="4" xfId="0" applyFont="1" applyFill="1" applyBorder="1" applyAlignment="1">
      <alignment horizontal="center" vertical="top" textRotation="31"/>
    </xf>
    <xf numFmtId="0" fontId="2" fillId="2" borderId="5" xfId="0" applyFont="1" applyFill="1" applyBorder="1" applyAlignment="1">
      <alignment horizontal="center" vertical="top" textRotation="31"/>
    </xf>
    <xf numFmtId="0" fontId="2" fillId="2" borderId="6" xfId="0" applyFont="1" applyFill="1" applyBorder="1" applyAlignment="1">
      <alignment horizontal="center" vertical="top" textRotation="31"/>
    </xf>
    <xf numFmtId="0" fontId="0" fillId="0" borderId="0" xfId="0" applyAlignment="1">
      <alignment vertical="top" wrapText="1"/>
    </xf>
    <xf numFmtId="49" fontId="0" fillId="3" borderId="7" xfId="0" applyNumberFormat="1" applyFill="1" applyBorder="1" applyAlignment="1">
      <alignment horizontal="left" vertical="top"/>
    </xf>
    <xf numFmtId="0" fontId="0" fillId="4" borderId="8" xfId="0" applyFill="1" applyBorder="1" applyAlignment="1">
      <alignment horizontal="left" vertical="top"/>
    </xf>
    <xf numFmtId="0" fontId="0" fillId="5" borderId="9" xfId="0" applyFill="1" applyBorder="1" applyAlignment="1">
      <alignment vertical="top"/>
    </xf>
    <xf numFmtId="0" fontId="0" fillId="6" borderId="9" xfId="0" applyFill="1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9" xfId="0" applyBorder="1" applyAlignment="1">
      <alignment horizontal="left" vertical="top"/>
    </xf>
    <xf numFmtId="0" fontId="0" fillId="7" borderId="9" xfId="0" applyFill="1" applyBorder="1" applyAlignment="1">
      <alignment vertical="top"/>
    </xf>
    <xf numFmtId="0" fontId="0" fillId="5" borderId="8" xfId="0" applyFill="1" applyBorder="1" applyAlignment="1">
      <alignment vertical="top"/>
    </xf>
    <xf numFmtId="0" fontId="0" fillId="8" borderId="8" xfId="0" applyFill="1" applyBorder="1" applyAlignment="1">
      <alignment vertical="top"/>
    </xf>
    <xf numFmtId="0" fontId="0" fillId="9" borderId="9" xfId="0" applyFill="1" applyBorder="1" applyAlignment="1">
      <alignment vertical="top"/>
    </xf>
    <xf numFmtId="0" fontId="3" fillId="0" borderId="9" xfId="0" quotePrefix="1" applyFont="1" applyBorder="1" applyAlignment="1">
      <alignment vertical="top"/>
    </xf>
    <xf numFmtId="0" fontId="3" fillId="0" borderId="7" xfId="0" quotePrefix="1" applyFont="1" applyBorder="1" applyAlignment="1">
      <alignment vertical="top"/>
    </xf>
    <xf numFmtId="0" fontId="0" fillId="0" borderId="9" xfId="0" quotePrefix="1" applyBorder="1" applyAlignment="1">
      <alignment vertical="top"/>
    </xf>
    <xf numFmtId="0" fontId="0" fillId="0" borderId="7" xfId="0" applyBorder="1" applyAlignment="1">
      <alignment vertical="top"/>
    </xf>
    <xf numFmtId="0" fontId="0" fillId="5" borderId="10" xfId="0" applyFill="1" applyBorder="1" applyAlignment="1">
      <alignment vertical="top"/>
    </xf>
    <xf numFmtId="0" fontId="0" fillId="5" borderId="7" xfId="0" applyFill="1" applyBorder="1" applyAlignment="1">
      <alignment vertical="top"/>
    </xf>
    <xf numFmtId="0" fontId="0" fillId="7" borderId="7" xfId="0" applyFill="1" applyBorder="1" applyAlignment="1">
      <alignment vertical="top"/>
    </xf>
    <xf numFmtId="0" fontId="3" fillId="9" borderId="9" xfId="0" applyFont="1" applyFill="1" applyBorder="1" applyAlignment="1">
      <alignment vertical="top"/>
    </xf>
    <xf numFmtId="0" fontId="3" fillId="5" borderId="10" xfId="0" applyFont="1" applyFill="1" applyBorder="1" applyAlignment="1">
      <alignment vertical="top"/>
    </xf>
    <xf numFmtId="0" fontId="3" fillId="5" borderId="7" xfId="0" applyFont="1" applyFill="1" applyBorder="1" applyAlignment="1">
      <alignment vertical="top"/>
    </xf>
    <xf numFmtId="49" fontId="3" fillId="3" borderId="10" xfId="0" applyNumberFormat="1" applyFont="1" applyFill="1" applyBorder="1" applyAlignment="1">
      <alignment horizontal="left" vertical="top"/>
    </xf>
    <xf numFmtId="49" fontId="3" fillId="3" borderId="7" xfId="0" applyNumberFormat="1" applyFont="1" applyFill="1" applyBorder="1" applyAlignment="1">
      <alignment horizontal="left" vertical="top"/>
    </xf>
    <xf numFmtId="0" fontId="3" fillId="5" borderId="9" xfId="0" applyFont="1" applyFill="1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9" xfId="0" applyBorder="1" applyAlignment="1">
      <alignment vertical="top"/>
    </xf>
    <xf numFmtId="0" fontId="1" fillId="10" borderId="0" xfId="0" applyFont="1" applyFill="1" applyAlignment="1">
      <alignment vertical="top" wrapText="1"/>
    </xf>
    <xf numFmtId="0" fontId="2" fillId="2" borderId="11" xfId="0" applyFont="1" applyFill="1" applyBorder="1" applyAlignment="1">
      <alignment horizontal="center" vertical="center" textRotation="31"/>
    </xf>
    <xf numFmtId="0" fontId="2" fillId="2" borderId="12" xfId="0" applyFont="1" applyFill="1" applyBorder="1" applyAlignment="1">
      <alignment horizontal="center" vertical="center" textRotation="3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NumberFormat="1"/>
    <xf numFmtId="0" fontId="0" fillId="0" borderId="0" xfId="0" applyNumberFormat="1" applyAlignment="1">
      <alignment vertical="center"/>
    </xf>
    <xf numFmtId="0" fontId="0" fillId="5" borderId="8" xfId="0" applyNumberFormat="1" applyFill="1" applyBorder="1"/>
    <xf numFmtId="0" fontId="0" fillId="0" borderId="8" xfId="0" applyNumberFormat="1" applyBorder="1"/>
    <xf numFmtId="0" fontId="6" fillId="0" borderId="0" xfId="0" applyFont="1" applyAlignment="1">
      <alignment vertical="top" wrapText="1"/>
    </xf>
    <xf numFmtId="0" fontId="0" fillId="0" borderId="0" xfId="0" applyAlignment="1">
      <alignment vertical="top"/>
    </xf>
    <xf numFmtId="14" fontId="0" fillId="0" borderId="13" xfId="0" applyNumberFormat="1" applyBorder="1" applyAlignment="1">
      <alignment vertical="top"/>
    </xf>
    <xf numFmtId="0" fontId="0" fillId="0" borderId="13" xfId="0" applyBorder="1" applyAlignment="1">
      <alignment vertical="top"/>
    </xf>
    <xf numFmtId="0" fontId="0" fillId="0" borderId="14" xfId="0" applyBorder="1" applyAlignment="1">
      <alignment vertical="top"/>
    </xf>
    <xf numFmtId="0" fontId="4" fillId="0" borderId="0" xfId="0" applyFont="1"/>
    <xf numFmtId="0" fontId="0" fillId="4" borderId="10" xfId="0" applyNumberFormat="1" applyFill="1" applyBorder="1" applyAlignment="1">
      <alignment horizontal="center"/>
    </xf>
    <xf numFmtId="0" fontId="8" fillId="0" borderId="0" xfId="0" applyFont="1"/>
    <xf numFmtId="0" fontId="0" fillId="0" borderId="14" xfId="0" applyBorder="1" applyAlignment="1">
      <alignment vertical="top" wrapText="1"/>
    </xf>
    <xf numFmtId="0" fontId="0" fillId="0" borderId="12" xfId="0" applyBorder="1"/>
    <xf numFmtId="0" fontId="0" fillId="0" borderId="15" xfId="0" applyBorder="1"/>
    <xf numFmtId="0" fontId="9" fillId="0" borderId="0" xfId="0" applyFont="1" applyAlignment="1">
      <alignment vertical="top" wrapText="1"/>
    </xf>
    <xf numFmtId="0" fontId="0" fillId="0" borderId="0" xfId="0" applyNumberFormat="1" applyAlignment="1">
      <alignment vertical="top" wrapText="1"/>
    </xf>
    <xf numFmtId="0" fontId="0" fillId="0" borderId="16" xfId="0" applyBorder="1" applyAlignment="1">
      <alignment vertical="top"/>
    </xf>
    <xf numFmtId="49" fontId="0" fillId="0" borderId="16" xfId="0" applyNumberFormat="1" applyBorder="1" applyAlignment="1">
      <alignment vertical="top"/>
    </xf>
    <xf numFmtId="0" fontId="2" fillId="2" borderId="17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 wrapText="1"/>
    </xf>
    <xf numFmtId="14" fontId="0" fillId="0" borderId="21" xfId="0" applyNumberFormat="1" applyBorder="1" applyAlignment="1">
      <alignment vertical="top"/>
    </xf>
    <xf numFmtId="0" fontId="0" fillId="0" borderId="22" xfId="0" applyBorder="1"/>
    <xf numFmtId="49" fontId="0" fillId="0" borderId="20" xfId="0" applyNumberFormat="1" applyBorder="1" applyAlignment="1">
      <alignment vertical="top"/>
    </xf>
  </cellXfs>
  <cellStyles count="1">
    <cellStyle name="Normal" xfId="0" builtinId="0"/>
  </cellStyles>
  <dxfs count="86">
    <dxf>
      <fill>
        <patternFill>
          <bgColor rgb="FFFFFF0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FF99C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numFmt numFmtId="19" formatCode="dd/mm/yyyy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top style="medium">
          <color indexed="64"/>
        </top>
      </border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thin">
          <color indexed="64"/>
        </bottom>
        <vertical/>
        <horizontal/>
      </border>
    </dxf>
    <dxf>
      <alignment horizontal="general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thin">
          <color indexed="64"/>
        </bottom>
        <vertical/>
        <horizontal/>
      </border>
    </dxf>
    <dxf>
      <alignment horizontal="general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thin">
          <color indexed="64"/>
        </bottom>
        <vertical/>
        <horizontal/>
      </border>
    </dxf>
    <dxf>
      <alignment horizontal="general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thin">
          <color indexed="64"/>
        </bottom>
        <vertical/>
        <horizontal/>
      </border>
    </dxf>
    <dxf>
      <alignment horizontal="general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thin">
          <color indexed="64"/>
        </bottom>
        <vertical/>
        <horizontal/>
      </border>
    </dxf>
    <dxf>
      <numFmt numFmtId="0" formatCode="General"/>
      <alignment horizontal="general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thin">
          <color indexed="64"/>
        </bottom>
        <vertical/>
        <horizontal/>
      </border>
    </dxf>
    <dxf>
      <numFmt numFmtId="0" formatCode="General"/>
      <alignment horizontal="general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thin">
          <color indexed="64"/>
        </bottom>
        <vertical/>
        <horizontal/>
      </border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thin">
          <color indexed="64"/>
        </bottom>
        <vertical/>
        <horizontal/>
      </border>
    </dxf>
    <dxf>
      <alignment horizontal="general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thin">
          <color indexed="64"/>
        </bottom>
        <vertical/>
        <horizontal/>
      </border>
    </dxf>
    <dxf>
      <alignment horizontal="general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thin">
          <color indexed="64"/>
        </bottom>
        <vertical/>
        <horizontal/>
      </border>
    </dxf>
    <dxf>
      <alignment horizontal="general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thin">
          <color indexed="64"/>
        </bottom>
        <vertical/>
        <horizontal/>
      </border>
    </dxf>
    <dxf>
      <alignment horizontal="general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thin">
          <color indexed="64"/>
        </bottom>
        <vertical/>
        <horizontal/>
      </border>
    </dxf>
    <dxf>
      <numFmt numFmtId="0" formatCode="General"/>
      <alignment horizontal="general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thin">
          <color indexed="64"/>
        </bottom>
        <vertical/>
        <horizontal/>
      </border>
    </dxf>
    <dxf>
      <numFmt numFmtId="0" formatCode="General"/>
      <alignment horizontal="general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thin">
          <color indexed="64"/>
        </bottom>
        <vertical/>
        <horizontal/>
      </border>
    </dxf>
    <dxf>
      <numFmt numFmtId="0" formatCode="General"/>
      <alignment horizontal="general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general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top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fill>
        <patternFill patternType="solid">
          <fgColor indexed="64"/>
          <bgColor rgb="FF92D050"/>
        </patternFill>
      </fill>
      <alignment horizontal="left" vertical="top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border diagonalUp="0" diagonalDown="0">
        <left style="medium">
          <color indexed="64"/>
        </left>
        <right style="medium">
          <color indexed="64"/>
        </right>
        <top/>
        <bottom style="thin">
          <color indexed="64"/>
        </bottom>
        <vertical/>
        <horizontal/>
      </border>
    </dxf>
    <dxf>
      <numFmt numFmtId="0" formatCode="General"/>
      <border diagonalUp="0" diagonalDown="0">
        <left style="medium">
          <color indexed="64"/>
        </left>
        <right style="medium">
          <color indexed="64"/>
        </right>
        <top/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4" tint="0.79998168889431442"/>
        </patternFill>
      </fill>
      <border diagonalUp="0" diagonalDown="0">
        <left style="medium">
          <color indexed="64"/>
        </left>
        <right style="medium">
          <color indexed="64"/>
        </right>
        <top/>
        <bottom style="thin">
          <color indexed="64"/>
        </bottom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 style="thin">
          <color indexed="64"/>
        </bottom>
        <vertical/>
        <horizontal/>
      </border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31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/>
        <bottom/>
      </border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bottom" textRotation="31" wrapText="0" indent="0" justifyLastLine="0" shrinkToFit="0" readingOrder="0"/>
    </dxf>
    <dxf>
      <border outline="0">
        <bottom style="thin">
          <color auto="1"/>
        </bottom>
      </border>
    </dxf>
    <dxf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indexed="64"/>
          <bgColor theme="1"/>
        </patternFill>
      </fill>
      <alignment horizontal="general" vertical="top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Arial Unicode MS"/>
        <scheme val="none"/>
      </font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eltypografi 1" pivot="0" count="1" xr9:uid="{254F44FD-19CD-489D-BED6-B5749826C869}">
      <tableStyleElement type="wholeTable" dxfId="85"/>
    </tableStyle>
  </tableStyles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594360</xdr:colOff>
          <xdr:row>12</xdr:row>
          <xdr:rowOff>45720</xdr:rowOff>
        </xdr:from>
        <xdr:to>
          <xdr:col>1</xdr:col>
          <xdr:colOff>861060</xdr:colOff>
          <xdr:row>14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Eksporter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3</xdr:row>
          <xdr:rowOff>327660</xdr:rowOff>
        </xdr:from>
        <xdr:to>
          <xdr:col>8</xdr:col>
          <xdr:colOff>426720</xdr:colOff>
          <xdr:row>6</xdr:row>
          <xdr:rowOff>91440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Kopier endelser</a:t>
              </a:r>
            </a:p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&lt;--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ksterneData_2" preserveFormatting="0" adjustColumnWidth="0" connectionId="4" xr16:uid="{26ED26D2-A7FE-4FB2-B18D-E260830039AA}" autoFormatId="16" applyNumberFormats="0" applyBorderFormats="0" applyFontFormats="0" applyPatternFormats="0" applyAlignmentFormats="0" applyWidthHeightFormats="0">
  <queryTableRefresh preserveSortFilterLayout="0" nextId="6">
    <queryTableFields count="5">
      <queryTableField id="1" name="Regel" tableColumnId="11"/>
      <queryTableField id="2" name="Filterregler for AHKURSG (Kursgevinstbeskatning)" tableColumnId="12"/>
      <queryTableField id="3" name="INDR:_x000a_Konsekvens hvis reglen ikke overholdes" tableColumnId="13"/>
      <queryTableField id="4" name="MODR:_x000a_Divergerende opsætning - bortset fra at alle afviser" tableColumnId="14"/>
      <queryTableField id="5" name="Kommentar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ksterneData_1" adjustColumnWidth="0" connectionId="1" xr16:uid="{D795AB76-E846-406E-996F-1095514A00A9}" autoFormatId="16" applyNumberFormats="0" applyBorderFormats="0" applyFontFormats="0" applyPatternFormats="0" applyAlignmentFormats="0" applyWidthHeightFormats="0">
  <queryTableRefresh nextId="21">
    <queryTableFields count="20">
      <queryTableField id="1" name="ID" tableColumnId="1"/>
      <queryTableField id="2" name="Claimant" tableColumnId="2"/>
      <queryTableField id="3" name="ClaimType" tableColumnId="3"/>
      <queryTableField id="4" name="Rule" tableColumnId="4"/>
      <queryTableField id="5" name="Active" tableColumnId="5"/>
      <queryTableField id="6" name="Hard rule" tableColumnId="6"/>
      <queryTableField id="7" name="Quantity" tableColumnId="7"/>
      <queryTableField id="8" name="Amount" tableColumnId="8"/>
      <queryTableField id="9" name="Duration: Days" tableColumnId="9"/>
      <queryTableField id="10" name="Duration: Months" tableColumnId="10"/>
      <queryTableField id="11" name="Duration: Years" tableColumnId="11"/>
      <queryTableField id="12" name="Column12" tableColumnId="12"/>
      <queryTableField id="13" name="MODR.Active" tableColumnId="13"/>
      <queryTableField id="14" name="MODR.Hard rule" tableColumnId="14"/>
      <queryTableField id="15" name="MODR.Quantity" tableColumnId="15"/>
      <queryTableField id="16" name="MODR.Amount" tableColumnId="16"/>
      <queryTableField id="17" name="MODR.Duration: Days" tableColumnId="17"/>
      <queryTableField id="18" name="MODR.Duration: Months" tableColumnId="18"/>
      <queryTableField id="19" name="MODR.Duration: Years" tableColumnId="19"/>
      <queryTableField id="20" name="MODR.Column12" tableColumnId="2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ksterneData_3" connectionId="7" xr16:uid="{584270B3-D09D-44B2-9B9F-7AA73AA427EA}" autoFormatId="16" applyNumberFormats="0" applyBorderFormats="0" applyFontFormats="0" applyPatternFormats="0" applyAlignmentFormats="0" applyWidthHeightFormats="0">
  <queryTableRefresh nextId="18">
    <queryTableFields count="6">
      <queryTableField id="1" name="Claimant" tableColumnId="1"/>
      <queryTableField id="2" name="ClaimType" tableColumnId="2"/>
      <queryTableField id="3" name="MainClaim" tableColumnId="3"/>
      <queryTableField id="4" name="SendFoko" tableColumnId="4"/>
      <queryTableField id="5" name="Column5" tableColumnId="5"/>
      <queryTableField id="17" name="Column6" tableColumnId="6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E3783E5-DAB6-4B46-9D22-9F562B75513B}" name="INDR" displayName="INDR" ref="A3:C4" totalsRowShown="0" headerRowDxfId="84" dataDxfId="83">
  <autoFilter ref="A3:C4" xr:uid="{CE3783E5-DAB6-4B46-9D22-9F562B75513B}"/>
  <tableColumns count="3">
    <tableColumn id="1" xr3:uid="{E93FCB21-966E-4035-8AF2-E22A5124A7E7}" name="Fil" dataDxfId="82"/>
    <tableColumn id="2" xr3:uid="{8DA27A7A-B486-4212-9252-83670547DEB3}" name="Sti" dataDxfId="81"/>
    <tableColumn id="3" xr3:uid="{A3CC1BDE-7201-481C-8FF1-ABC575CB03DC}" name="Filnavn" dataDxfId="80">
      <calculatedColumnFormula>F4&amp;G4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D9DEEA-8D1C-45FD-A934-37162CF8B360}" name="MODR" displayName="MODR" ref="A6:C7" totalsRowShown="0" headerRowDxfId="79" dataDxfId="78">
  <autoFilter ref="A6:C7" xr:uid="{A9D9DEEA-8D1C-45FD-A934-37162CF8B360}"/>
  <tableColumns count="3">
    <tableColumn id="1" xr3:uid="{8347004C-BA93-40C4-9295-BAE53A2583C4}" name="Fil" dataDxfId="77"/>
    <tableColumn id="2" xr3:uid="{27A0D67F-865A-4ADD-B504-4935302EFC07}" name="Sti" dataDxfId="76">
      <calculatedColumnFormula>B4</calculatedColumnFormula>
    </tableColumn>
    <tableColumn id="3" xr3:uid="{5B65DFAF-1F51-4A4B-BE2E-737525608C6B}" name="Filnavn" dataDxfId="75">
      <calculatedColumnFormula>F7&amp;G7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E0504E-CAAE-4110-B3ED-C6D910813B79}" name="Formulering" displayName="Formulering" ref="A1:E29" tableType="queryTable" totalsRowShown="0" headerRowDxfId="74" dataDxfId="73" tableBorderDxfId="72">
  <autoFilter ref="A1:E29" xr:uid="{B0E0504E-CAAE-4110-B3ED-C6D910813B79}"/>
  <tableColumns count="5">
    <tableColumn id="11" xr3:uid="{A7A98987-A2F6-4CA9-BAC0-D191EF60A0DF}" uniqueName="11" name="Regel" queryTableFieldId="1" dataDxfId="68"/>
    <tableColumn id="12" xr3:uid="{A3FE3845-A7D1-4ABA-85B5-48B3B7276896}" uniqueName="12" name="Filterregler for AHKURSG (Kursgevinstbeskatning)" queryTableFieldId="2" dataDxfId="64"/>
    <tableColumn id="13" xr3:uid="{10A9A27A-0437-44AE-9A57-D0E5477A3570}" uniqueName="13" name="INDR:_x000a_Konsekvens hvis reglen ikke overholdes" queryTableFieldId="3" dataDxfId="67"/>
    <tableColumn id="14" xr3:uid="{AB17402C-EA0E-4ACD-B896-2918BD2F37D9}" uniqueName="14" name="MODR:_x000a_Divergerende opsætning - bortset fra at alle afviser" queryTableFieldId="4" dataDxfId="66"/>
    <tableColumn id="15" xr3:uid="{7BC184A1-C38C-418F-8EDE-09E54B768701}" uniqueName="15" name="Kommentar" queryTableFieldId="5" dataDxfId="65"/>
  </tableColumns>
  <tableStyleInfo name="Tabeltypografi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167030-B3ED-4A99-85C9-8B9A9590A646}" name="Configuration" displayName="Configuration" ref="A1:T70" tableType="queryTable" totalsRowShown="0" headerRowDxfId="71" dataDxfId="70">
  <autoFilter ref="A1:T70" xr:uid="{7D167030-B3ED-4A99-85C9-8B9A9590A646}"/>
  <tableColumns count="20">
    <tableColumn id="1" xr3:uid="{9C33467A-3BAD-4E09-95DD-123B1C38AFCF}" uniqueName="1" name="ID" queryTableFieldId="1" dataDxfId="58"/>
    <tableColumn id="2" xr3:uid="{A990ECE4-727B-4A63-8CF0-997FE4DAA278}" uniqueName="2" name="Claimant" queryTableFieldId="2" dataDxfId="57"/>
    <tableColumn id="3" xr3:uid="{709EB066-A3E1-49BA-808B-00D466961F9C}" uniqueName="3" name="ClaimType" queryTableFieldId="3" dataDxfId="56"/>
    <tableColumn id="4" xr3:uid="{3ED5EEE7-B0DD-4DA3-A070-4772A8E1969A}" uniqueName="4" name="Rule" queryTableFieldId="4" dataDxfId="55"/>
    <tableColumn id="5" xr3:uid="{04134AD4-677B-45FD-8A5B-75DDE08A26C9}" uniqueName="5" name="Active" queryTableFieldId="5" dataDxfId="54"/>
    <tableColumn id="6" xr3:uid="{8BDE37AE-E46E-4521-9D37-7543A4F74861}" uniqueName="6" name="Hard rule" queryTableFieldId="6" dataDxfId="53"/>
    <tableColumn id="7" xr3:uid="{7A2F282B-CFF4-44B5-94A3-0558F614DB19}" uniqueName="7" name="Quantity" queryTableFieldId="7" dataDxfId="52"/>
    <tableColumn id="8" xr3:uid="{E035E178-FC87-4FC4-84B3-D24BE570089C}" uniqueName="8" name="Amount" queryTableFieldId="8" dataDxfId="51"/>
    <tableColumn id="9" xr3:uid="{F9CA7366-F5F0-4FF6-915F-0823C4B46E80}" uniqueName="9" name="Duration: Days" queryTableFieldId="9" dataDxfId="50"/>
    <tableColumn id="10" xr3:uid="{ED9F6D81-A5FE-493B-A5B3-EF04B9476304}" uniqueName="10" name="Duration: Months" queryTableFieldId="10" dataDxfId="49"/>
    <tableColumn id="11" xr3:uid="{BB80DF7B-8BB7-41B0-A79C-0F46F82B658C}" uniqueName="11" name="Duration: Years" queryTableFieldId="11" dataDxfId="48"/>
    <tableColumn id="12" xr3:uid="{5BE1760E-BCAC-4A84-85AC-F0266FBAE54B}" uniqueName="12" name="Column12" queryTableFieldId="12" dataDxfId="47"/>
    <tableColumn id="13" xr3:uid="{350332BB-2D7D-4C94-A638-0831B96574C8}" uniqueName="13" name="MODR.Active" queryTableFieldId="13" dataDxfId="46"/>
    <tableColumn id="14" xr3:uid="{10ECE62D-48F2-4769-915E-724DFCA129AA}" uniqueName="14" name="MODR.Hard rule" queryTableFieldId="14" dataDxfId="45"/>
    <tableColumn id="15" xr3:uid="{E956A0CD-C3C7-40BB-892A-422AA6345274}" uniqueName="15" name="MODR.Quantity" queryTableFieldId="15" dataDxfId="44"/>
    <tableColumn id="16" xr3:uid="{FBEBD39C-61A6-4EC8-B997-80B10CBE9276}" uniqueName="16" name="MODR.Amount" queryTableFieldId="16" dataDxfId="43"/>
    <tableColumn id="17" xr3:uid="{50CE4D81-C7C3-4233-A67A-FBEF4EE215E6}" uniqueName="17" name="MODR.Duration: Days" queryTableFieldId="17" dataDxfId="42"/>
    <tableColumn id="18" xr3:uid="{50FD2420-2B0D-4147-9AEB-FEC2B940BD94}" uniqueName="18" name="MODR.Duration: Months" queryTableFieldId="18" dataDxfId="41"/>
    <tableColumn id="19" xr3:uid="{62AA66EC-5C13-4934-8E4C-423D675CB9E3}" uniqueName="19" name="MODR.Duration: Years" queryTableFieldId="19" dataDxfId="40"/>
    <tableColumn id="20" xr3:uid="{7A2C35DE-FBA8-410C-B117-8CA6B591A86E}" uniqueName="20" name="MODR.Column12" queryTableFieldId="20" dataDxfId="3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BFB0E2-FE89-4910-B035-97B84BE2706C}" name="Specification" displayName="Specification" ref="A1:F2" tableType="queryTable" totalsRowShown="0" headerRowDxfId="69">
  <autoFilter ref="A1:F2" xr:uid="{99BFB0E2-FE89-4910-B035-97B84BE2706C}"/>
  <tableColumns count="6">
    <tableColumn id="1" xr3:uid="{508E5B72-C577-4EC4-ADB6-611606C717DE}" uniqueName="1" name="Claimant" queryTableFieldId="1" dataDxfId="63"/>
    <tableColumn id="2" xr3:uid="{4D945D8C-4C39-4409-A196-3FE6BED6E309}" uniqueName="2" name="ClaimType" queryTableFieldId="2" dataDxfId="62"/>
    <tableColumn id="3" xr3:uid="{62427528-B86E-4EAA-AB15-357E2F9DE2E2}" uniqueName="3" name="MainClaim" queryTableFieldId="3" dataDxfId="61"/>
    <tableColumn id="4" xr3:uid="{858C53E5-2306-4EDC-A01F-74F939CB56E8}" uniqueName="4" name="SendFoko" queryTableFieldId="4" dataDxfId="60"/>
    <tableColumn id="5" xr3:uid="{00E075C8-6F38-42CB-8228-F98816609B2E}" uniqueName="5" name="Column5" queryTableFieldId="5" dataDxfId="59"/>
    <tableColumn id="6" xr3:uid="{923F909D-DECA-4CEA-87EE-D1BE1994F34C}" uniqueName="6" name="Column6" queryTableFieldId="17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286DD20-C450-4B45-8CF5-C227C4BC1A2D}" name="Tabel6" displayName="Tabel6" ref="A1:D7" totalsRowShown="0" headerRowDxfId="32" headerRowBorderDxfId="37" tableBorderDxfId="38">
  <autoFilter ref="A1:D7" xr:uid="{D286DD20-C450-4B45-8CF5-C227C4BC1A2D}"/>
  <tableColumns count="4">
    <tableColumn id="1" xr3:uid="{6D123624-1FC0-4E4F-87FF-AD0095C0D593}" name="Version" dataDxfId="36"/>
    <tableColumn id="2" xr3:uid="{B9C4B52C-AAA1-4334-A586-7D5344513414}" name="Dato" dataDxfId="35"/>
    <tableColumn id="3" xr3:uid="{4D1CC025-4E62-433D-92B5-97D65BF79FF5}" name="Name" dataDxfId="34"/>
    <tableColumn id="4" xr3:uid="{D286CF09-3429-4ED8-9B8C-F1376895B655}" name="Changes" dataDxfId="33"/>
  </tableColumns>
  <tableStyleInfo name="Tabeltypografi 1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ECAC9-3DF4-4DB9-9E84-3258DA8496F1}">
  <sheetPr codeName="Ark4"/>
  <dimension ref="A1:J12"/>
  <sheetViews>
    <sheetView tabSelected="1" workbookViewId="0"/>
  </sheetViews>
  <sheetFormatPr defaultRowHeight="14.4"/>
  <cols>
    <col min="2" max="2" width="31.33203125" customWidth="1"/>
    <col min="3" max="3" width="26.44140625" customWidth="1"/>
    <col min="6" max="6" width="10.77734375" customWidth="1"/>
    <col min="7" max="7" width="18" bestFit="1" customWidth="1"/>
    <col min="10" max="10" width="18" bestFit="1" customWidth="1"/>
  </cols>
  <sheetData>
    <row r="1" spans="1:10">
      <c r="A1" s="39"/>
      <c r="B1" s="48" t="str">
        <f>Formulering!B1</f>
        <v>Filterregler for AHKURSG (Kursgevinstbeskatning)</v>
      </c>
      <c r="C1" s="39"/>
      <c r="D1" s="39"/>
      <c r="E1" s="39"/>
    </row>
    <row r="3" spans="1:10" ht="15" thickBot="1">
      <c r="A3" s="37" t="s">
        <v>199</v>
      </c>
      <c r="B3" s="38" t="s">
        <v>196</v>
      </c>
      <c r="C3" s="38" t="s">
        <v>195</v>
      </c>
      <c r="G3" t="s">
        <v>214</v>
      </c>
      <c r="J3" t="s">
        <v>225</v>
      </c>
    </row>
    <row r="4" spans="1:10" ht="40.200000000000003" thickBot="1">
      <c r="A4" s="8" t="s">
        <v>197</v>
      </c>
      <c r="B4" s="43" t="s">
        <v>232</v>
      </c>
      <c r="C4" s="44" t="str">
        <f>F4&amp;G4</f>
        <v>AHKURSG - 2025-10-30 v0.xlsx</v>
      </c>
      <c r="F4" s="52" t="s">
        <v>241</v>
      </c>
      <c r="G4" t="s">
        <v>230</v>
      </c>
      <c r="J4" t="str">
        <f ca="1">_xlfn.CONCAT(" - ",TEXT(TODAY(),"ÅÅÅÅ-MM-DD")," v0.xlsx")</f>
        <v xml:space="preserve"> - 2025-10-30 v0.xlsx</v>
      </c>
    </row>
    <row r="6" spans="1:10">
      <c r="A6" s="37" t="s">
        <v>199</v>
      </c>
      <c r="B6" s="38" t="s">
        <v>196</v>
      </c>
      <c r="C6" s="38" t="s">
        <v>195</v>
      </c>
    </row>
    <row r="7" spans="1:10" ht="44.4" customHeight="1">
      <c r="A7" s="8" t="s">
        <v>198</v>
      </c>
      <c r="B7" s="54" t="str">
        <f>B4</f>
        <v>C:\Users\w22093\OneDrive - Skatteministeriet\Indgangsfilter\Repos\Filteropsætter - Develop\9999\</v>
      </c>
      <c r="C7" s="44" t="str">
        <f>F7&amp;G7</f>
        <v>AHKURSG - 2025-10-30 v1.xlsx</v>
      </c>
      <c r="F7" s="50" t="str">
        <f>F4</f>
        <v>AHKURSG</v>
      </c>
      <c r="G7" t="s">
        <v>231</v>
      </c>
      <c r="J7" t="str">
        <f ca="1">_xlfn.CONCAT(" - ",TEXT(TODAY(),"ÅÅÅÅ-MM-DD")," v1.xlsx")</f>
        <v xml:space="preserve"> - 2025-10-30 v1.xlsx</v>
      </c>
    </row>
    <row r="9" spans="1:10">
      <c r="B9" t="s">
        <v>205</v>
      </c>
    </row>
    <row r="10" spans="1:10">
      <c r="B10" t="s">
        <v>222</v>
      </c>
    </row>
    <row r="12" spans="1:10">
      <c r="B12" t="s">
        <v>223</v>
      </c>
    </row>
  </sheetData>
  <conditionalFormatting sqref="B4 B7">
    <cfRule type="expression" dxfId="31" priority="2">
      <formula>RIGHT(B4,1)&lt;&gt;"\"</formula>
    </cfRule>
  </conditionalFormatting>
  <conditionalFormatting sqref="G4 G7">
    <cfRule type="expression" dxfId="30" priority="3">
      <formula>RIGHT(G4,5)&lt;&gt;".xlsx"</formula>
    </cfRule>
  </conditionalFormatting>
  <conditionalFormatting sqref="F4">
    <cfRule type="expression" dxfId="29" priority="1">
      <formula>TRIM($F$4)&lt;&gt;$F$4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ksporterTreArkTilNyFil">
                <anchor moveWithCells="1">
                  <from>
                    <xdr:col>0</xdr:col>
                    <xdr:colOff>594360</xdr:colOff>
                    <xdr:row>12</xdr:row>
                    <xdr:rowOff>45720</xdr:rowOff>
                  </from>
                  <to>
                    <xdr:col>1</xdr:col>
                    <xdr:colOff>861060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KopierVærdierTilCeller">
                <anchor moveWithCells="1" sizeWithCells="1">
                  <from>
                    <xdr:col>7</xdr:col>
                    <xdr:colOff>342900</xdr:colOff>
                    <xdr:row>3</xdr:row>
                    <xdr:rowOff>327660</xdr:rowOff>
                  </from>
                  <to>
                    <xdr:col>8</xdr:col>
                    <xdr:colOff>426720</xdr:colOff>
                    <xdr:row>6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48B2E-B076-4F25-A2C3-AF1FE26CC90F}">
  <sheetPr codeName="Ark1"/>
  <dimension ref="A1:E29"/>
  <sheetViews>
    <sheetView workbookViewId="0"/>
  </sheetViews>
  <sheetFormatPr defaultRowHeight="14.4"/>
  <cols>
    <col min="1" max="1" width="8.109375" customWidth="1"/>
    <col min="2" max="2" width="61.44140625" customWidth="1"/>
    <col min="3" max="7" width="17.5546875" customWidth="1"/>
  </cols>
  <sheetData>
    <row r="1" spans="1:5" ht="57.6">
      <c r="A1" s="34" t="s">
        <v>159</v>
      </c>
      <c r="B1" s="34" t="s">
        <v>242</v>
      </c>
      <c r="C1" s="34" t="s">
        <v>160</v>
      </c>
      <c r="D1" s="34" t="s">
        <v>204</v>
      </c>
      <c r="E1" s="34" t="s">
        <v>201</v>
      </c>
    </row>
    <row r="2" spans="1:5">
      <c r="A2" s="8" t="s">
        <v>161</v>
      </c>
      <c r="B2" s="55" t="s">
        <v>162</v>
      </c>
      <c r="C2" s="8" t="s">
        <v>163</v>
      </c>
      <c r="D2" s="8" t="s">
        <v>200</v>
      </c>
      <c r="E2" s="8" t="s">
        <v>200</v>
      </c>
    </row>
    <row r="3" spans="1:5">
      <c r="A3" s="8" t="s">
        <v>164</v>
      </c>
      <c r="B3" s="55" t="s">
        <v>165</v>
      </c>
      <c r="C3" s="8" t="s">
        <v>163</v>
      </c>
      <c r="D3" s="8" t="s">
        <v>200</v>
      </c>
      <c r="E3" s="8" t="s">
        <v>200</v>
      </c>
    </row>
    <row r="4" spans="1:5" ht="28.8">
      <c r="A4" s="8" t="s">
        <v>166</v>
      </c>
      <c r="B4" s="55" t="s">
        <v>167</v>
      </c>
      <c r="C4" s="8" t="s">
        <v>163</v>
      </c>
      <c r="D4" s="8" t="s">
        <v>200</v>
      </c>
      <c r="E4" s="8" t="s">
        <v>200</v>
      </c>
    </row>
    <row r="5" spans="1:5" ht="28.8">
      <c r="A5" s="8" t="s">
        <v>168</v>
      </c>
      <c r="B5" s="55" t="s">
        <v>169</v>
      </c>
      <c r="C5" s="8" t="s">
        <v>170</v>
      </c>
      <c r="D5" s="8" t="s">
        <v>202</v>
      </c>
      <c r="E5" s="8" t="s">
        <v>200</v>
      </c>
    </row>
    <row r="6" spans="1:5">
      <c r="A6" s="8" t="s">
        <v>171</v>
      </c>
      <c r="B6" s="55" t="s">
        <v>172</v>
      </c>
      <c r="C6" s="8" t="s">
        <v>163</v>
      </c>
      <c r="D6" s="8" t="s">
        <v>200</v>
      </c>
      <c r="E6" s="8" t="s">
        <v>200</v>
      </c>
    </row>
    <row r="7" spans="1:5">
      <c r="A7" s="8" t="s">
        <v>31</v>
      </c>
      <c r="B7" s="55" t="s">
        <v>240</v>
      </c>
      <c r="C7" s="8" t="s">
        <v>173</v>
      </c>
      <c r="D7" s="8" t="s">
        <v>200</v>
      </c>
      <c r="E7" s="8" t="s">
        <v>200</v>
      </c>
    </row>
    <row r="8" spans="1:5" ht="28.8">
      <c r="A8" s="8" t="s">
        <v>33</v>
      </c>
      <c r="B8" s="55" t="s">
        <v>233</v>
      </c>
      <c r="C8" s="8" t="s">
        <v>170</v>
      </c>
      <c r="D8" s="8" t="s">
        <v>234</v>
      </c>
      <c r="E8" s="8" t="s">
        <v>200</v>
      </c>
    </row>
    <row r="9" spans="1:5" ht="86.4">
      <c r="A9" s="8" t="s">
        <v>37</v>
      </c>
      <c r="B9" s="55" t="s">
        <v>243</v>
      </c>
      <c r="C9" s="8" t="s">
        <v>243</v>
      </c>
      <c r="D9" s="8" t="s">
        <v>244</v>
      </c>
      <c r="E9" s="8" t="s">
        <v>200</v>
      </c>
    </row>
    <row r="10" spans="1:5" ht="28.8">
      <c r="A10" s="8" t="s">
        <v>174</v>
      </c>
      <c r="B10" s="55" t="s">
        <v>175</v>
      </c>
      <c r="C10" s="8" t="s">
        <v>163</v>
      </c>
      <c r="D10" s="8" t="s">
        <v>200</v>
      </c>
      <c r="E10" s="8" t="s">
        <v>200</v>
      </c>
    </row>
    <row r="11" spans="1:5">
      <c r="A11" s="8" t="s">
        <v>176</v>
      </c>
      <c r="B11" s="55" t="s">
        <v>177</v>
      </c>
      <c r="C11" s="8" t="s">
        <v>163</v>
      </c>
      <c r="D11" s="8" t="s">
        <v>200</v>
      </c>
      <c r="E11" s="8" t="s">
        <v>200</v>
      </c>
    </row>
    <row r="12" spans="1:5">
      <c r="A12" s="8" t="s">
        <v>178</v>
      </c>
      <c r="B12" s="55" t="s">
        <v>179</v>
      </c>
      <c r="C12" s="8" t="s">
        <v>163</v>
      </c>
      <c r="D12" s="8" t="s">
        <v>200</v>
      </c>
      <c r="E12" s="8" t="s">
        <v>200</v>
      </c>
    </row>
    <row r="13" spans="1:5" ht="28.8">
      <c r="A13" s="8" t="s">
        <v>180</v>
      </c>
      <c r="B13" s="55" t="s">
        <v>181</v>
      </c>
      <c r="C13" s="8" t="s">
        <v>163</v>
      </c>
      <c r="D13" s="8" t="s">
        <v>200</v>
      </c>
      <c r="E13" s="8" t="s">
        <v>200</v>
      </c>
    </row>
    <row r="14" spans="1:5">
      <c r="A14" s="8" t="s">
        <v>182</v>
      </c>
      <c r="B14" s="55" t="s">
        <v>183</v>
      </c>
      <c r="C14" s="8" t="s">
        <v>163</v>
      </c>
      <c r="D14" s="8" t="s">
        <v>200</v>
      </c>
      <c r="E14" s="8" t="s">
        <v>200</v>
      </c>
    </row>
    <row r="15" spans="1:5">
      <c r="A15" s="8" t="s">
        <v>184</v>
      </c>
      <c r="B15" s="55" t="s">
        <v>185</v>
      </c>
      <c r="C15" s="8" t="s">
        <v>163</v>
      </c>
      <c r="D15" s="8" t="s">
        <v>203</v>
      </c>
      <c r="E15" s="8" t="s">
        <v>200</v>
      </c>
    </row>
    <row r="16" spans="1:5">
      <c r="A16" s="8" t="s">
        <v>186</v>
      </c>
      <c r="B16" s="55" t="s">
        <v>187</v>
      </c>
      <c r="C16" s="8" t="s">
        <v>163</v>
      </c>
      <c r="D16" s="8" t="s">
        <v>200</v>
      </c>
      <c r="E16" s="8" t="s">
        <v>200</v>
      </c>
    </row>
    <row r="17" spans="1:5">
      <c r="A17" s="8" t="s">
        <v>67</v>
      </c>
      <c r="B17" s="55" t="s">
        <v>245</v>
      </c>
      <c r="C17" s="8" t="s">
        <v>173</v>
      </c>
      <c r="D17" s="8" t="s">
        <v>200</v>
      </c>
      <c r="E17" s="8" t="s">
        <v>200</v>
      </c>
    </row>
    <row r="18" spans="1:5" ht="28.8">
      <c r="A18" s="8" t="s">
        <v>69</v>
      </c>
      <c r="B18" s="55" t="s">
        <v>246</v>
      </c>
      <c r="C18" s="8" t="s">
        <v>170</v>
      </c>
      <c r="D18" s="8" t="s">
        <v>234</v>
      </c>
      <c r="E18" s="8" t="s">
        <v>200</v>
      </c>
    </row>
    <row r="19" spans="1:5">
      <c r="A19" s="8" t="s">
        <v>71</v>
      </c>
      <c r="B19" s="55" t="s">
        <v>247</v>
      </c>
      <c r="C19" s="8" t="s">
        <v>173</v>
      </c>
      <c r="D19" s="8" t="s">
        <v>200</v>
      </c>
      <c r="E19" s="8" t="s">
        <v>200</v>
      </c>
    </row>
    <row r="20" spans="1:5" ht="28.8">
      <c r="A20" s="8" t="s">
        <v>73</v>
      </c>
      <c r="B20" s="55" t="s">
        <v>248</v>
      </c>
      <c r="C20" s="8" t="s">
        <v>170</v>
      </c>
      <c r="D20" s="8" t="s">
        <v>234</v>
      </c>
      <c r="E20" s="8" t="s">
        <v>200</v>
      </c>
    </row>
    <row r="21" spans="1:5" ht="28.8">
      <c r="A21" s="8" t="s">
        <v>235</v>
      </c>
      <c r="B21" s="55" t="s">
        <v>236</v>
      </c>
      <c r="C21" s="8" t="s">
        <v>173</v>
      </c>
      <c r="D21" s="8" t="s">
        <v>200</v>
      </c>
      <c r="E21" s="8" t="s">
        <v>200</v>
      </c>
    </row>
    <row r="22" spans="1:5">
      <c r="A22" s="8" t="s">
        <v>103</v>
      </c>
      <c r="B22" s="55" t="s">
        <v>249</v>
      </c>
      <c r="C22" s="8" t="s">
        <v>173</v>
      </c>
      <c r="D22" s="8" t="s">
        <v>200</v>
      </c>
      <c r="E22" s="8" t="s">
        <v>200</v>
      </c>
    </row>
    <row r="23" spans="1:5">
      <c r="A23" s="8" t="s">
        <v>107</v>
      </c>
      <c r="B23" s="55" t="s">
        <v>250</v>
      </c>
      <c r="C23" s="8" t="s">
        <v>173</v>
      </c>
      <c r="D23" s="8" t="s">
        <v>200</v>
      </c>
      <c r="E23" s="8" t="s">
        <v>200</v>
      </c>
    </row>
    <row r="24" spans="1:5">
      <c r="A24" s="8" t="s">
        <v>109</v>
      </c>
      <c r="B24" s="55" t="s">
        <v>206</v>
      </c>
      <c r="C24" s="8" t="s">
        <v>163</v>
      </c>
      <c r="D24" s="8" t="s">
        <v>200</v>
      </c>
      <c r="E24" s="8" t="s">
        <v>200</v>
      </c>
    </row>
    <row r="25" spans="1:5">
      <c r="A25" s="8" t="s">
        <v>111</v>
      </c>
      <c r="B25" s="55" t="s">
        <v>188</v>
      </c>
      <c r="C25" s="8" t="s">
        <v>163</v>
      </c>
      <c r="D25" s="8" t="s">
        <v>200</v>
      </c>
      <c r="E25" s="8" t="s">
        <v>200</v>
      </c>
    </row>
    <row r="26" spans="1:5">
      <c r="A26" s="8" t="s">
        <v>113</v>
      </c>
      <c r="B26" s="55" t="s">
        <v>189</v>
      </c>
      <c r="C26" s="8" t="s">
        <v>163</v>
      </c>
      <c r="D26" s="8" t="s">
        <v>200</v>
      </c>
      <c r="E26" s="8" t="s">
        <v>200</v>
      </c>
    </row>
    <row r="27" spans="1:5">
      <c r="A27" s="8" t="s">
        <v>115</v>
      </c>
      <c r="B27" s="55" t="s">
        <v>215</v>
      </c>
      <c r="C27" s="8" t="s">
        <v>163</v>
      </c>
      <c r="D27" s="8" t="s">
        <v>200</v>
      </c>
      <c r="E27" s="8" t="s">
        <v>200</v>
      </c>
    </row>
    <row r="28" spans="1:5">
      <c r="A28" s="8" t="s">
        <v>117</v>
      </c>
      <c r="B28" s="55" t="s">
        <v>216</v>
      </c>
      <c r="C28" s="8" t="s">
        <v>163</v>
      </c>
      <c r="D28" s="8" t="s">
        <v>200</v>
      </c>
      <c r="E28" s="8" t="s">
        <v>200</v>
      </c>
    </row>
    <row r="29" spans="1:5">
      <c r="A29" s="8" t="s">
        <v>190</v>
      </c>
      <c r="B29" s="55" t="s">
        <v>191</v>
      </c>
      <c r="C29" s="8" t="s">
        <v>163</v>
      </c>
      <c r="D29" s="8" t="s">
        <v>200</v>
      </c>
      <c r="E29" s="8" t="s">
        <v>200</v>
      </c>
    </row>
  </sheetData>
  <dataConsolidate/>
  <phoneticPr fontId="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71D85-00FD-4F1C-800E-88403CA6CFD8}">
  <sheetPr codeName="Ark2"/>
  <dimension ref="A1:T70"/>
  <sheetViews>
    <sheetView topLeftCell="D12" workbookViewId="0">
      <selection sqref="A1:T70"/>
    </sheetView>
  </sheetViews>
  <sheetFormatPr defaultRowHeight="14.4"/>
  <cols>
    <col min="1" max="1" width="8.109375" bestFit="1" customWidth="1"/>
    <col min="2" max="2" width="5.21875" customWidth="1"/>
    <col min="3" max="3" width="9.5546875" customWidth="1"/>
    <col min="4" max="4" width="65.6640625" customWidth="1"/>
    <col min="5" max="6" width="3.77734375" customWidth="1"/>
    <col min="7" max="8" width="7.88671875" customWidth="1"/>
    <col min="9" max="11" width="3.33203125" customWidth="1"/>
    <col min="12" max="12" width="23.88671875" customWidth="1"/>
    <col min="13" max="14" width="3.77734375" customWidth="1"/>
    <col min="15" max="16" width="7.88671875" customWidth="1"/>
    <col min="17" max="19" width="3.33203125" customWidth="1"/>
    <col min="20" max="20" width="23.88671875" customWidth="1"/>
  </cols>
  <sheetData>
    <row r="1" spans="1:20" ht="70.2">
      <c r="A1" s="1" t="s">
        <v>0</v>
      </c>
      <c r="B1" s="1" t="s">
        <v>1</v>
      </c>
      <c r="C1" s="1" t="s">
        <v>2</v>
      </c>
      <c r="D1" s="2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4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4" t="s">
        <v>19</v>
      </c>
    </row>
    <row r="2" spans="1:20" ht="15" thickBot="1">
      <c r="A2" s="5"/>
      <c r="B2" s="5"/>
      <c r="C2" s="5"/>
      <c r="D2" s="6"/>
      <c r="E2" s="7"/>
      <c r="F2" s="7"/>
      <c r="G2" s="7"/>
      <c r="H2" s="7"/>
      <c r="I2" s="7"/>
      <c r="J2" s="7"/>
      <c r="K2" s="7"/>
      <c r="L2" s="8"/>
      <c r="M2" s="7"/>
      <c r="N2" s="7"/>
      <c r="O2" s="7"/>
      <c r="P2" s="7"/>
      <c r="Q2" s="7"/>
      <c r="R2" s="7"/>
      <c r="S2" s="7"/>
      <c r="T2" s="8"/>
    </row>
    <row r="3" spans="1:20">
      <c r="A3" s="9" t="s">
        <v>20</v>
      </c>
      <c r="B3" s="10">
        <v>9999</v>
      </c>
      <c r="C3" s="11" t="s">
        <v>241</v>
      </c>
      <c r="D3" s="12" t="s">
        <v>21</v>
      </c>
      <c r="E3" s="13" t="s">
        <v>22</v>
      </c>
      <c r="F3" s="13"/>
      <c r="G3" s="13"/>
      <c r="H3" s="13"/>
      <c r="I3" s="13"/>
      <c r="J3" s="13"/>
      <c r="K3" s="13"/>
      <c r="L3" s="44"/>
      <c r="M3" s="13" t="s">
        <v>22</v>
      </c>
      <c r="N3" s="13"/>
      <c r="O3" s="13"/>
      <c r="P3" s="13"/>
      <c r="Q3" s="13"/>
      <c r="R3" s="13"/>
      <c r="S3" s="13"/>
      <c r="T3" s="44"/>
    </row>
    <row r="4" spans="1:20">
      <c r="A4" s="9" t="s">
        <v>23</v>
      </c>
      <c r="B4" s="14">
        <v>9999</v>
      </c>
      <c r="C4" s="11" t="s">
        <v>241</v>
      </c>
      <c r="D4" s="15" t="s">
        <v>24</v>
      </c>
      <c r="E4" s="13" t="s">
        <v>22</v>
      </c>
      <c r="F4" s="13"/>
      <c r="G4" s="13"/>
      <c r="H4" s="13"/>
      <c r="I4" s="13"/>
      <c r="J4" s="13"/>
      <c r="K4" s="13"/>
      <c r="L4" s="44"/>
      <c r="M4" s="13" t="s">
        <v>22</v>
      </c>
      <c r="N4" s="13"/>
      <c r="O4" s="13"/>
      <c r="P4" s="13"/>
      <c r="Q4" s="13"/>
      <c r="R4" s="13"/>
      <c r="S4" s="13"/>
      <c r="T4" s="44"/>
    </row>
    <row r="5" spans="1:20">
      <c r="A5" s="9" t="s">
        <v>25</v>
      </c>
      <c r="B5" s="14">
        <v>9999</v>
      </c>
      <c r="C5" s="11" t="s">
        <v>241</v>
      </c>
      <c r="D5" s="12" t="s">
        <v>26</v>
      </c>
      <c r="E5" s="13" t="s">
        <v>22</v>
      </c>
      <c r="F5" s="13"/>
      <c r="G5" s="13"/>
      <c r="H5" s="13"/>
      <c r="I5" s="13"/>
      <c r="J5" s="13"/>
      <c r="K5" s="13"/>
      <c r="L5" s="44"/>
      <c r="M5" s="13" t="s">
        <v>22</v>
      </c>
      <c r="N5" s="13"/>
      <c r="O5" s="13"/>
      <c r="P5" s="13"/>
      <c r="Q5" s="13"/>
      <c r="R5" s="13"/>
      <c r="S5" s="13"/>
      <c r="T5" s="44"/>
    </row>
    <row r="6" spans="1:20">
      <c r="A6" s="9" t="s">
        <v>29</v>
      </c>
      <c r="B6" s="14">
        <v>9999</v>
      </c>
      <c r="C6" s="11" t="s">
        <v>241</v>
      </c>
      <c r="D6" s="15" t="s">
        <v>30</v>
      </c>
      <c r="E6" s="13" t="s">
        <v>22</v>
      </c>
      <c r="F6" s="13"/>
      <c r="G6" s="13"/>
      <c r="H6" s="13"/>
      <c r="I6" s="13"/>
      <c r="J6" s="13"/>
      <c r="K6" s="13"/>
      <c r="L6" s="44"/>
      <c r="M6" s="13" t="s">
        <v>22</v>
      </c>
      <c r="N6" s="13"/>
      <c r="O6" s="13"/>
      <c r="P6" s="13"/>
      <c r="Q6" s="13"/>
      <c r="R6" s="13"/>
      <c r="S6" s="13"/>
      <c r="T6" s="44"/>
    </row>
    <row r="7" spans="1:20">
      <c r="A7" s="9" t="s">
        <v>31</v>
      </c>
      <c r="B7" s="14">
        <v>9999</v>
      </c>
      <c r="C7" s="11" t="s">
        <v>241</v>
      </c>
      <c r="D7" s="12" t="s">
        <v>32</v>
      </c>
      <c r="E7" s="13" t="s">
        <v>27</v>
      </c>
      <c r="F7" s="13" t="s">
        <v>28</v>
      </c>
      <c r="G7" s="13"/>
      <c r="H7" s="13"/>
      <c r="I7" s="13">
        <v>0</v>
      </c>
      <c r="J7" s="13">
        <v>0</v>
      </c>
      <c r="K7" s="13">
        <v>3</v>
      </c>
      <c r="L7" s="44" t="s">
        <v>252</v>
      </c>
      <c r="M7" s="13" t="s">
        <v>27</v>
      </c>
      <c r="N7" s="13" t="s">
        <v>28</v>
      </c>
      <c r="O7" s="13"/>
      <c r="P7" s="13"/>
      <c r="Q7" s="13">
        <v>0</v>
      </c>
      <c r="R7" s="13">
        <v>0</v>
      </c>
      <c r="S7" s="13">
        <v>3</v>
      </c>
      <c r="T7" s="44" t="s">
        <v>252</v>
      </c>
    </row>
    <row r="8" spans="1:20">
      <c r="A8" s="9" t="s">
        <v>33</v>
      </c>
      <c r="B8" s="14">
        <v>9999</v>
      </c>
      <c r="C8" s="11" t="s">
        <v>241</v>
      </c>
      <c r="D8" s="15" t="s">
        <v>34</v>
      </c>
      <c r="E8" s="13" t="s">
        <v>27</v>
      </c>
      <c r="F8" s="13" t="s">
        <v>224</v>
      </c>
      <c r="G8" s="13">
        <v>1</v>
      </c>
      <c r="H8" s="13"/>
      <c r="I8" s="13">
        <v>0</v>
      </c>
      <c r="J8" s="13">
        <v>0</v>
      </c>
      <c r="K8" s="13">
        <v>3</v>
      </c>
      <c r="L8" s="44" t="s">
        <v>239</v>
      </c>
      <c r="M8" s="13" t="s">
        <v>22</v>
      </c>
      <c r="N8" s="13"/>
      <c r="O8" s="13"/>
      <c r="P8" s="13"/>
      <c r="Q8" s="13"/>
      <c r="R8" s="13"/>
      <c r="S8" s="13"/>
      <c r="T8" s="44"/>
    </row>
    <row r="9" spans="1:20">
      <c r="A9" s="9" t="s">
        <v>35</v>
      </c>
      <c r="B9" s="14">
        <v>9999</v>
      </c>
      <c r="C9" s="11" t="s">
        <v>241</v>
      </c>
      <c r="D9" s="11" t="s">
        <v>36</v>
      </c>
      <c r="E9" s="13" t="s">
        <v>22</v>
      </c>
      <c r="F9" s="13"/>
      <c r="G9" s="13"/>
      <c r="H9" s="13"/>
      <c r="I9" s="13"/>
      <c r="J9" s="13"/>
      <c r="K9" s="13"/>
      <c r="L9" s="44"/>
      <c r="M9" s="13" t="s">
        <v>22</v>
      </c>
      <c r="N9" s="13"/>
      <c r="O9" s="13"/>
      <c r="P9" s="13"/>
      <c r="Q9" s="13"/>
      <c r="R9" s="13"/>
      <c r="S9" s="13"/>
      <c r="T9" s="44"/>
    </row>
    <row r="10" spans="1:20">
      <c r="A10" s="9" t="s">
        <v>37</v>
      </c>
      <c r="B10" s="14">
        <v>9999</v>
      </c>
      <c r="C10" s="11" t="s">
        <v>241</v>
      </c>
      <c r="D10" s="11" t="s">
        <v>38</v>
      </c>
      <c r="E10" s="13" t="s">
        <v>22</v>
      </c>
      <c r="F10" s="13"/>
      <c r="G10" s="13"/>
      <c r="H10" s="13"/>
      <c r="I10" s="13"/>
      <c r="J10" s="13"/>
      <c r="K10" s="13"/>
      <c r="L10" s="44"/>
      <c r="M10" s="13" t="s">
        <v>27</v>
      </c>
      <c r="N10" s="13" t="s">
        <v>28</v>
      </c>
      <c r="O10" s="13">
        <v>1</v>
      </c>
      <c r="P10" s="13"/>
      <c r="Q10" s="13">
        <v>19</v>
      </c>
      <c r="R10" s="13">
        <v>8</v>
      </c>
      <c r="S10" s="13">
        <v>11</v>
      </c>
      <c r="T10" s="44" t="s">
        <v>253</v>
      </c>
    </row>
    <row r="11" spans="1:20">
      <c r="A11" s="9" t="s">
        <v>39</v>
      </c>
      <c r="B11" s="14">
        <v>9999</v>
      </c>
      <c r="C11" s="11" t="s">
        <v>241</v>
      </c>
      <c r="D11" s="16" t="s">
        <v>40</v>
      </c>
      <c r="E11" s="13" t="s">
        <v>22</v>
      </c>
      <c r="F11" s="13"/>
      <c r="G11" s="13"/>
      <c r="H11" s="13"/>
      <c r="I11" s="13"/>
      <c r="J11" s="13"/>
      <c r="K11" s="13"/>
      <c r="L11" s="44"/>
      <c r="M11" s="13" t="s">
        <v>22</v>
      </c>
      <c r="N11" s="13"/>
      <c r="O11" s="13"/>
      <c r="P11" s="13"/>
      <c r="Q11" s="13"/>
      <c r="R11" s="13"/>
      <c r="S11" s="13"/>
      <c r="T11" s="44"/>
    </row>
    <row r="12" spans="1:20">
      <c r="A12" s="9" t="s">
        <v>41</v>
      </c>
      <c r="B12" s="14">
        <v>9999</v>
      </c>
      <c r="C12" s="11" t="s">
        <v>241</v>
      </c>
      <c r="D12" s="11" t="s">
        <v>42</v>
      </c>
      <c r="E12" s="13" t="s">
        <v>22</v>
      </c>
      <c r="F12" s="13"/>
      <c r="G12" s="13"/>
      <c r="H12" s="13"/>
      <c r="I12" s="13"/>
      <c r="J12" s="13"/>
      <c r="K12" s="13"/>
      <c r="L12" s="44"/>
      <c r="M12" s="13" t="s">
        <v>22</v>
      </c>
      <c r="N12" s="13"/>
      <c r="O12" s="13"/>
      <c r="P12" s="13"/>
      <c r="Q12" s="13"/>
      <c r="R12" s="13"/>
      <c r="S12" s="13"/>
      <c r="T12" s="44"/>
    </row>
    <row r="13" spans="1:20">
      <c r="A13" s="9" t="s">
        <v>43</v>
      </c>
      <c r="B13" s="14">
        <v>9999</v>
      </c>
      <c r="C13" s="11" t="s">
        <v>241</v>
      </c>
      <c r="D13" s="15" t="s">
        <v>44</v>
      </c>
      <c r="E13" s="13" t="s">
        <v>22</v>
      </c>
      <c r="F13" s="17"/>
      <c r="G13" s="13"/>
      <c r="H13" s="13"/>
      <c r="I13" s="13"/>
      <c r="J13" s="13"/>
      <c r="K13" s="13"/>
      <c r="L13" s="44"/>
      <c r="M13" s="13" t="s">
        <v>22</v>
      </c>
      <c r="N13" s="17"/>
      <c r="O13" s="13"/>
      <c r="P13" s="13"/>
      <c r="Q13" s="13"/>
      <c r="R13" s="13"/>
      <c r="S13" s="13"/>
      <c r="T13" s="44"/>
    </row>
    <row r="14" spans="1:20">
      <c r="A14" s="9" t="s">
        <v>45</v>
      </c>
      <c r="B14" s="14">
        <v>9999</v>
      </c>
      <c r="C14" s="11" t="s">
        <v>241</v>
      </c>
      <c r="D14" s="15" t="s">
        <v>46</v>
      </c>
      <c r="E14" s="13" t="s">
        <v>22</v>
      </c>
      <c r="F14" s="17"/>
      <c r="G14" s="13"/>
      <c r="H14" s="13"/>
      <c r="I14" s="13"/>
      <c r="J14" s="13"/>
      <c r="K14" s="13"/>
      <c r="L14" s="44"/>
      <c r="M14" s="13" t="s">
        <v>22</v>
      </c>
      <c r="N14" s="17"/>
      <c r="O14" s="13"/>
      <c r="P14" s="13"/>
      <c r="Q14" s="13"/>
      <c r="R14" s="13"/>
      <c r="S14" s="13"/>
      <c r="T14" s="44"/>
    </row>
    <row r="15" spans="1:20">
      <c r="A15" s="9" t="s">
        <v>47</v>
      </c>
      <c r="B15" s="14">
        <v>9999</v>
      </c>
      <c r="C15" s="11" t="s">
        <v>241</v>
      </c>
      <c r="D15" s="18" t="s">
        <v>48</v>
      </c>
      <c r="E15" s="13" t="s">
        <v>22</v>
      </c>
      <c r="F15" s="17"/>
      <c r="G15" s="13"/>
      <c r="H15" s="13"/>
      <c r="I15" s="13"/>
      <c r="J15" s="13"/>
      <c r="K15" s="13"/>
      <c r="L15" s="44"/>
      <c r="M15" s="13" t="s">
        <v>22</v>
      </c>
      <c r="N15" s="17"/>
      <c r="O15" s="13"/>
      <c r="P15" s="13"/>
      <c r="Q15" s="13"/>
      <c r="R15" s="13"/>
      <c r="S15" s="13"/>
      <c r="T15" s="44"/>
    </row>
    <row r="16" spans="1:20">
      <c r="A16" s="9" t="s">
        <v>49</v>
      </c>
      <c r="B16" s="14">
        <v>9999</v>
      </c>
      <c r="C16" s="11" t="s">
        <v>241</v>
      </c>
      <c r="D16" s="15" t="s">
        <v>50</v>
      </c>
      <c r="E16" s="13" t="s">
        <v>22</v>
      </c>
      <c r="F16" s="17"/>
      <c r="G16" s="13"/>
      <c r="H16" s="13"/>
      <c r="I16" s="13"/>
      <c r="J16" s="13"/>
      <c r="K16" s="13"/>
      <c r="L16" s="44"/>
      <c r="M16" s="13" t="s">
        <v>22</v>
      </c>
      <c r="N16" s="17"/>
      <c r="O16" s="13"/>
      <c r="P16" s="13"/>
      <c r="Q16" s="13"/>
      <c r="R16" s="13"/>
      <c r="S16" s="13"/>
      <c r="T16" s="44"/>
    </row>
    <row r="17" spans="1:20">
      <c r="A17" s="9" t="s">
        <v>51</v>
      </c>
      <c r="B17" s="14">
        <v>9999</v>
      </c>
      <c r="C17" s="11" t="s">
        <v>241</v>
      </c>
      <c r="D17" s="15" t="s">
        <v>52</v>
      </c>
      <c r="E17" s="13" t="s">
        <v>22</v>
      </c>
      <c r="F17" s="17"/>
      <c r="G17" s="13"/>
      <c r="H17" s="13"/>
      <c r="I17" s="13"/>
      <c r="J17" s="13"/>
      <c r="K17" s="13"/>
      <c r="L17" s="44"/>
      <c r="M17" s="13" t="s">
        <v>22</v>
      </c>
      <c r="N17" s="17"/>
      <c r="O17" s="13"/>
      <c r="P17" s="13"/>
      <c r="Q17" s="13"/>
      <c r="R17" s="13"/>
      <c r="S17" s="13"/>
      <c r="T17" s="44"/>
    </row>
    <row r="18" spans="1:20">
      <c r="A18" s="9" t="s">
        <v>53</v>
      </c>
      <c r="B18" s="14">
        <v>9999</v>
      </c>
      <c r="C18" s="11" t="s">
        <v>241</v>
      </c>
      <c r="D18" s="15" t="s">
        <v>54</v>
      </c>
      <c r="E18" s="13" t="s">
        <v>22</v>
      </c>
      <c r="F18" s="17"/>
      <c r="G18" s="13"/>
      <c r="H18" s="13"/>
      <c r="I18" s="13"/>
      <c r="J18" s="13"/>
      <c r="K18" s="13"/>
      <c r="L18" s="44"/>
      <c r="M18" s="13" t="s">
        <v>22</v>
      </c>
      <c r="N18" s="17"/>
      <c r="O18" s="13"/>
      <c r="P18" s="13"/>
      <c r="Q18" s="13"/>
      <c r="R18" s="13"/>
      <c r="S18" s="13"/>
      <c r="T18" s="44"/>
    </row>
    <row r="19" spans="1:20">
      <c r="A19" s="9" t="s">
        <v>55</v>
      </c>
      <c r="B19" s="14">
        <v>9999</v>
      </c>
      <c r="C19" s="11" t="s">
        <v>241</v>
      </c>
      <c r="D19" s="19" t="s">
        <v>56</v>
      </c>
      <c r="E19" s="13" t="s">
        <v>22</v>
      </c>
      <c r="F19" s="13"/>
      <c r="G19" s="13"/>
      <c r="H19" s="13"/>
      <c r="I19" s="13"/>
      <c r="J19" s="13"/>
      <c r="K19" s="13"/>
      <c r="L19" s="44"/>
      <c r="M19" s="13" t="s">
        <v>22</v>
      </c>
      <c r="N19" s="13"/>
      <c r="O19" s="13"/>
      <c r="P19" s="13"/>
      <c r="Q19" s="13"/>
      <c r="R19" s="13"/>
      <c r="S19" s="13"/>
      <c r="T19" s="44"/>
    </row>
    <row r="20" spans="1:20">
      <c r="A20" s="9" t="s">
        <v>57</v>
      </c>
      <c r="B20" s="14">
        <v>9999</v>
      </c>
      <c r="C20" s="11" t="s">
        <v>241</v>
      </c>
      <c r="D20" s="20" t="s">
        <v>58</v>
      </c>
      <c r="E20" s="13" t="s">
        <v>22</v>
      </c>
      <c r="F20" s="13"/>
      <c r="G20" s="13"/>
      <c r="H20" s="13"/>
      <c r="I20" s="13"/>
      <c r="J20" s="13"/>
      <c r="K20" s="13"/>
      <c r="L20" s="44"/>
      <c r="M20" s="13" t="s">
        <v>22</v>
      </c>
      <c r="N20" s="13"/>
      <c r="O20" s="13"/>
      <c r="P20" s="13"/>
      <c r="Q20" s="13"/>
      <c r="R20" s="13"/>
      <c r="S20" s="13"/>
      <c r="T20" s="44"/>
    </row>
    <row r="21" spans="1:20">
      <c r="A21" s="9" t="s">
        <v>59</v>
      </c>
      <c r="B21" s="14">
        <v>9999</v>
      </c>
      <c r="C21" s="11" t="s">
        <v>241</v>
      </c>
      <c r="D21" s="21" t="s">
        <v>60</v>
      </c>
      <c r="E21" s="13" t="s">
        <v>22</v>
      </c>
      <c r="F21" s="13"/>
      <c r="G21" s="13"/>
      <c r="H21" s="13"/>
      <c r="I21" s="13"/>
      <c r="J21" s="13"/>
      <c r="K21" s="13"/>
      <c r="L21" s="44"/>
      <c r="M21" s="13" t="s">
        <v>22</v>
      </c>
      <c r="N21" s="13"/>
      <c r="O21" s="13"/>
      <c r="P21" s="13"/>
      <c r="Q21" s="13"/>
      <c r="R21" s="13"/>
      <c r="S21" s="13"/>
      <c r="T21" s="44"/>
    </row>
    <row r="22" spans="1:20">
      <c r="A22" s="9" t="s">
        <v>61</v>
      </c>
      <c r="B22" s="14">
        <v>9999</v>
      </c>
      <c r="C22" s="11" t="s">
        <v>241</v>
      </c>
      <c r="D22" s="22" t="s">
        <v>62</v>
      </c>
      <c r="E22" s="13" t="s">
        <v>22</v>
      </c>
      <c r="F22" s="13"/>
      <c r="G22" s="13"/>
      <c r="H22" s="13"/>
      <c r="I22" s="13"/>
      <c r="J22" s="13"/>
      <c r="K22" s="13"/>
      <c r="L22" s="44"/>
      <c r="M22" s="13" t="s">
        <v>22</v>
      </c>
      <c r="N22" s="13"/>
      <c r="O22" s="13"/>
      <c r="P22" s="13"/>
      <c r="Q22" s="13"/>
      <c r="R22" s="13"/>
      <c r="S22" s="13"/>
      <c r="T22" s="44"/>
    </row>
    <row r="23" spans="1:20">
      <c r="A23" s="9" t="s">
        <v>63</v>
      </c>
      <c r="B23" s="14">
        <v>9999</v>
      </c>
      <c r="C23" s="11" t="s">
        <v>241</v>
      </c>
      <c r="D23" s="22" t="s">
        <v>64</v>
      </c>
      <c r="E23" s="13" t="s">
        <v>22</v>
      </c>
      <c r="F23" s="13"/>
      <c r="G23" s="13"/>
      <c r="H23" s="13"/>
      <c r="I23" s="13"/>
      <c r="J23" s="13"/>
      <c r="K23" s="13"/>
      <c r="L23" s="44"/>
      <c r="M23" s="13" t="s">
        <v>22</v>
      </c>
      <c r="N23" s="13"/>
      <c r="O23" s="13"/>
      <c r="P23" s="13"/>
      <c r="Q23" s="13"/>
      <c r="R23" s="13"/>
      <c r="S23" s="13"/>
      <c r="T23" s="44"/>
    </row>
    <row r="24" spans="1:20">
      <c r="A24" s="9" t="s">
        <v>65</v>
      </c>
      <c r="B24" s="14">
        <v>9999</v>
      </c>
      <c r="C24" s="11" t="s">
        <v>241</v>
      </c>
      <c r="D24" s="22" t="s">
        <v>66</v>
      </c>
      <c r="E24" s="13" t="s">
        <v>22</v>
      </c>
      <c r="F24" s="13"/>
      <c r="G24" s="13"/>
      <c r="H24" s="13"/>
      <c r="I24" s="13"/>
      <c r="J24" s="13"/>
      <c r="K24" s="13"/>
      <c r="L24" s="44"/>
      <c r="M24" s="13" t="s">
        <v>22</v>
      </c>
      <c r="N24" s="13"/>
      <c r="O24" s="13"/>
      <c r="P24" s="13"/>
      <c r="Q24" s="13"/>
      <c r="R24" s="13"/>
      <c r="S24" s="13"/>
      <c r="T24" s="44"/>
    </row>
    <row r="25" spans="1:20">
      <c r="A25" s="9" t="s">
        <v>67</v>
      </c>
      <c r="B25" s="14">
        <v>9999</v>
      </c>
      <c r="C25" s="11" t="s">
        <v>241</v>
      </c>
      <c r="D25" s="23" t="s">
        <v>68</v>
      </c>
      <c r="E25" s="13" t="s">
        <v>27</v>
      </c>
      <c r="F25" s="13" t="s">
        <v>28</v>
      </c>
      <c r="G25" s="13"/>
      <c r="H25" s="13"/>
      <c r="I25" s="13">
        <v>19</v>
      </c>
      <c r="J25" s="13">
        <v>0</v>
      </c>
      <c r="K25" s="13">
        <v>0</v>
      </c>
      <c r="L25" s="44" t="s">
        <v>254</v>
      </c>
      <c r="M25" s="13" t="s">
        <v>27</v>
      </c>
      <c r="N25" s="13" t="s">
        <v>28</v>
      </c>
      <c r="O25" s="13"/>
      <c r="P25" s="13"/>
      <c r="Q25" s="13">
        <v>19</v>
      </c>
      <c r="R25" s="13">
        <v>0</v>
      </c>
      <c r="S25" s="13">
        <v>0</v>
      </c>
      <c r="T25" s="44" t="s">
        <v>254</v>
      </c>
    </row>
    <row r="26" spans="1:20">
      <c r="A26" s="9" t="s">
        <v>69</v>
      </c>
      <c r="B26" s="14">
        <v>9999</v>
      </c>
      <c r="C26" s="11" t="s">
        <v>241</v>
      </c>
      <c r="D26" s="24" t="s">
        <v>70</v>
      </c>
      <c r="E26" s="13" t="s">
        <v>27</v>
      </c>
      <c r="F26" s="13" t="s">
        <v>224</v>
      </c>
      <c r="G26" s="13"/>
      <c r="H26" s="13"/>
      <c r="I26" s="13">
        <v>24</v>
      </c>
      <c r="J26" s="13">
        <v>0</v>
      </c>
      <c r="K26" s="13">
        <v>0</v>
      </c>
      <c r="L26" s="44" t="s">
        <v>255</v>
      </c>
      <c r="M26" s="13" t="s">
        <v>22</v>
      </c>
      <c r="N26" s="13"/>
      <c r="O26" s="13"/>
      <c r="P26" s="13"/>
      <c r="Q26" s="13"/>
      <c r="R26" s="13"/>
      <c r="S26" s="13"/>
      <c r="T26" s="44" t="s">
        <v>255</v>
      </c>
    </row>
    <row r="27" spans="1:20">
      <c r="A27" s="9" t="s">
        <v>71</v>
      </c>
      <c r="B27" s="14">
        <v>9999</v>
      </c>
      <c r="C27" s="11" t="s">
        <v>241</v>
      </c>
      <c r="D27" s="25" t="s">
        <v>72</v>
      </c>
      <c r="E27" s="13" t="s">
        <v>27</v>
      </c>
      <c r="F27" s="13" t="s">
        <v>28</v>
      </c>
      <c r="G27" s="13"/>
      <c r="H27" s="13"/>
      <c r="I27" s="13">
        <v>0</v>
      </c>
      <c r="J27" s="13">
        <v>8</v>
      </c>
      <c r="K27" s="13">
        <v>0</v>
      </c>
      <c r="L27" s="44" t="s">
        <v>256</v>
      </c>
      <c r="M27" s="13" t="s">
        <v>27</v>
      </c>
      <c r="N27" s="13" t="s">
        <v>28</v>
      </c>
      <c r="O27" s="13"/>
      <c r="P27" s="13"/>
      <c r="Q27" s="13">
        <v>0</v>
      </c>
      <c r="R27" s="13">
        <v>8</v>
      </c>
      <c r="S27" s="13">
        <v>0</v>
      </c>
      <c r="T27" s="44" t="s">
        <v>256</v>
      </c>
    </row>
    <row r="28" spans="1:20">
      <c r="A28" s="9" t="s">
        <v>73</v>
      </c>
      <c r="B28" s="14">
        <v>9999</v>
      </c>
      <c r="C28" s="11" t="s">
        <v>241</v>
      </c>
      <c r="D28" s="25" t="s">
        <v>74</v>
      </c>
      <c r="E28" s="13" t="s">
        <v>27</v>
      </c>
      <c r="F28" s="13" t="s">
        <v>224</v>
      </c>
      <c r="G28" s="13"/>
      <c r="H28" s="13"/>
      <c r="I28" s="13">
        <v>0</v>
      </c>
      <c r="J28" s="13">
        <v>12</v>
      </c>
      <c r="K28" s="13">
        <v>0</v>
      </c>
      <c r="L28" s="44" t="s">
        <v>257</v>
      </c>
      <c r="M28" s="13" t="s">
        <v>22</v>
      </c>
      <c r="N28" s="13"/>
      <c r="O28" s="13"/>
      <c r="P28" s="13"/>
      <c r="Q28" s="13"/>
      <c r="R28" s="13"/>
      <c r="S28" s="13"/>
      <c r="T28" s="44" t="s">
        <v>257</v>
      </c>
    </row>
    <row r="29" spans="1:20">
      <c r="A29" s="9" t="s">
        <v>75</v>
      </c>
      <c r="B29" s="14">
        <v>9999</v>
      </c>
      <c r="C29" s="11" t="s">
        <v>241</v>
      </c>
      <c r="D29" s="25" t="s">
        <v>76</v>
      </c>
      <c r="E29" s="13" t="s">
        <v>22</v>
      </c>
      <c r="F29" s="13"/>
      <c r="G29" s="13"/>
      <c r="H29" s="13"/>
      <c r="I29" s="13"/>
      <c r="J29" s="13"/>
      <c r="K29" s="13"/>
      <c r="L29" s="44"/>
      <c r="M29" s="13" t="s">
        <v>22</v>
      </c>
      <c r="N29" s="13"/>
      <c r="O29" s="13"/>
      <c r="P29" s="13"/>
      <c r="Q29" s="13"/>
      <c r="R29" s="13"/>
      <c r="S29" s="13"/>
      <c r="T29" s="44"/>
    </row>
    <row r="30" spans="1:20">
      <c r="A30" s="9" t="s">
        <v>77</v>
      </c>
      <c r="B30" s="14">
        <v>9999</v>
      </c>
      <c r="C30" s="11" t="s">
        <v>241</v>
      </c>
      <c r="D30" s="25" t="s">
        <v>78</v>
      </c>
      <c r="E30" s="13" t="s">
        <v>22</v>
      </c>
      <c r="F30" s="13"/>
      <c r="G30" s="13"/>
      <c r="H30" s="13"/>
      <c r="I30" s="13"/>
      <c r="J30" s="13"/>
      <c r="K30" s="13"/>
      <c r="L30" s="44"/>
      <c r="M30" s="13" t="s">
        <v>22</v>
      </c>
      <c r="N30" s="13"/>
      <c r="O30" s="13"/>
      <c r="P30" s="13"/>
      <c r="Q30" s="13"/>
      <c r="R30" s="13"/>
      <c r="S30" s="13"/>
      <c r="T30" s="44"/>
    </row>
    <row r="31" spans="1:20">
      <c r="A31" s="9" t="s">
        <v>79</v>
      </c>
      <c r="B31" s="14">
        <v>9999</v>
      </c>
      <c r="C31" s="11" t="s">
        <v>241</v>
      </c>
      <c r="D31" s="25" t="s">
        <v>80</v>
      </c>
      <c r="E31" s="13" t="s">
        <v>22</v>
      </c>
      <c r="F31" s="13"/>
      <c r="G31" s="13"/>
      <c r="H31" s="13"/>
      <c r="I31" s="13"/>
      <c r="J31" s="13"/>
      <c r="K31" s="13"/>
      <c r="L31" s="44"/>
      <c r="M31" s="13" t="s">
        <v>22</v>
      </c>
      <c r="N31" s="13"/>
      <c r="O31" s="13"/>
      <c r="P31" s="13"/>
      <c r="Q31" s="13"/>
      <c r="R31" s="13"/>
      <c r="S31" s="13"/>
      <c r="T31" s="44"/>
    </row>
    <row r="32" spans="1:20">
      <c r="A32" s="9" t="s">
        <v>81</v>
      </c>
      <c r="B32" s="14">
        <v>9999</v>
      </c>
      <c r="C32" s="11" t="s">
        <v>241</v>
      </c>
      <c r="D32" s="25" t="s">
        <v>82</v>
      </c>
      <c r="E32" s="13" t="s">
        <v>22</v>
      </c>
      <c r="F32" s="13"/>
      <c r="G32" s="13"/>
      <c r="H32" s="13"/>
      <c r="I32" s="13"/>
      <c r="J32" s="13"/>
      <c r="K32" s="13"/>
      <c r="L32" s="44"/>
      <c r="M32" s="13" t="s">
        <v>22</v>
      </c>
      <c r="N32" s="13"/>
      <c r="O32" s="13"/>
      <c r="P32" s="13"/>
      <c r="Q32" s="13"/>
      <c r="R32" s="13"/>
      <c r="S32" s="13"/>
      <c r="T32" s="44"/>
    </row>
    <row r="33" spans="1:20">
      <c r="A33" s="9" t="s">
        <v>83</v>
      </c>
      <c r="B33" s="14">
        <v>9999</v>
      </c>
      <c r="C33" s="11" t="s">
        <v>241</v>
      </c>
      <c r="D33" s="25" t="s">
        <v>84</v>
      </c>
      <c r="E33" s="13" t="s">
        <v>22</v>
      </c>
      <c r="F33" s="13"/>
      <c r="G33" s="13"/>
      <c r="H33" s="13"/>
      <c r="I33" s="13"/>
      <c r="J33" s="13"/>
      <c r="K33" s="13"/>
      <c r="L33" s="44"/>
      <c r="M33" s="13" t="s">
        <v>22</v>
      </c>
      <c r="N33" s="13"/>
      <c r="O33" s="13"/>
      <c r="P33" s="13"/>
      <c r="Q33" s="13"/>
      <c r="R33" s="13"/>
      <c r="S33" s="13"/>
      <c r="T33" s="44"/>
    </row>
    <row r="34" spans="1:20">
      <c r="A34" s="9" t="s">
        <v>85</v>
      </c>
      <c r="B34" s="14">
        <v>9999</v>
      </c>
      <c r="C34" s="11" t="s">
        <v>241</v>
      </c>
      <c r="D34" s="25" t="s">
        <v>86</v>
      </c>
      <c r="E34" s="13" t="s">
        <v>22</v>
      </c>
      <c r="F34" s="13"/>
      <c r="G34" s="13"/>
      <c r="H34" s="13"/>
      <c r="I34" s="13"/>
      <c r="J34" s="13"/>
      <c r="K34" s="13"/>
      <c r="L34" s="44"/>
      <c r="M34" s="13" t="s">
        <v>22</v>
      </c>
      <c r="N34" s="13"/>
      <c r="O34" s="13"/>
      <c r="P34" s="13"/>
      <c r="Q34" s="13"/>
      <c r="R34" s="13"/>
      <c r="S34" s="13"/>
      <c r="T34" s="44"/>
    </row>
    <row r="35" spans="1:20">
      <c r="A35" s="9" t="s">
        <v>87</v>
      </c>
      <c r="B35" s="14">
        <v>9999</v>
      </c>
      <c r="C35" s="11" t="s">
        <v>241</v>
      </c>
      <c r="D35" s="25" t="s">
        <v>88</v>
      </c>
      <c r="E35" s="13" t="s">
        <v>22</v>
      </c>
      <c r="F35" s="13"/>
      <c r="G35" s="13"/>
      <c r="H35" s="13"/>
      <c r="I35" s="13"/>
      <c r="J35" s="13"/>
      <c r="K35" s="13"/>
      <c r="L35" s="44"/>
      <c r="M35" s="13" t="s">
        <v>22</v>
      </c>
      <c r="N35" s="13"/>
      <c r="O35" s="13"/>
      <c r="P35" s="13"/>
      <c r="Q35" s="13"/>
      <c r="R35" s="13"/>
      <c r="S35" s="13"/>
      <c r="T35" s="44"/>
    </row>
    <row r="36" spans="1:20">
      <c r="A36" s="9" t="s">
        <v>89</v>
      </c>
      <c r="B36" s="14">
        <v>9999</v>
      </c>
      <c r="C36" s="11" t="s">
        <v>241</v>
      </c>
      <c r="D36" s="25" t="s">
        <v>90</v>
      </c>
      <c r="E36" s="13" t="s">
        <v>22</v>
      </c>
      <c r="F36" s="13"/>
      <c r="G36" s="13"/>
      <c r="H36" s="13"/>
      <c r="I36" s="13"/>
      <c r="J36" s="13"/>
      <c r="K36" s="13"/>
      <c r="L36" s="44"/>
      <c r="M36" s="13" t="s">
        <v>22</v>
      </c>
      <c r="N36" s="13"/>
      <c r="O36" s="13"/>
      <c r="P36" s="13"/>
      <c r="Q36" s="13"/>
      <c r="R36" s="13"/>
      <c r="S36" s="13"/>
      <c r="T36" s="44"/>
    </row>
    <row r="37" spans="1:20">
      <c r="A37" s="9" t="s">
        <v>91</v>
      </c>
      <c r="B37" s="14">
        <v>9999</v>
      </c>
      <c r="C37" s="11" t="s">
        <v>241</v>
      </c>
      <c r="D37" s="25" t="s">
        <v>92</v>
      </c>
      <c r="E37" s="13" t="s">
        <v>22</v>
      </c>
      <c r="F37" s="13"/>
      <c r="G37" s="13"/>
      <c r="H37" s="13"/>
      <c r="I37" s="13"/>
      <c r="J37" s="13"/>
      <c r="K37" s="13"/>
      <c r="L37" s="44"/>
      <c r="M37" s="13" t="s">
        <v>22</v>
      </c>
      <c r="N37" s="13"/>
      <c r="O37" s="13"/>
      <c r="P37" s="13"/>
      <c r="Q37" s="13"/>
      <c r="R37" s="13"/>
      <c r="S37" s="13"/>
      <c r="T37" s="44"/>
    </row>
    <row r="38" spans="1:20">
      <c r="A38" s="9" t="s">
        <v>93</v>
      </c>
      <c r="B38" s="14">
        <v>9999</v>
      </c>
      <c r="C38" s="11" t="s">
        <v>241</v>
      </c>
      <c r="D38" s="25" t="s">
        <v>94</v>
      </c>
      <c r="E38" s="13" t="s">
        <v>22</v>
      </c>
      <c r="F38" s="13"/>
      <c r="G38" s="13"/>
      <c r="H38" s="13"/>
      <c r="I38" s="13"/>
      <c r="J38" s="13"/>
      <c r="K38" s="13"/>
      <c r="L38" s="44"/>
      <c r="M38" s="13" t="s">
        <v>22</v>
      </c>
      <c r="N38" s="13"/>
      <c r="O38" s="13"/>
      <c r="P38" s="13"/>
      <c r="Q38" s="13"/>
      <c r="R38" s="13"/>
      <c r="S38" s="13"/>
      <c r="T38" s="44"/>
    </row>
    <row r="39" spans="1:20">
      <c r="A39" s="9" t="s">
        <v>95</v>
      </c>
      <c r="B39" s="14">
        <v>9999</v>
      </c>
      <c r="C39" s="11" t="s">
        <v>241</v>
      </c>
      <c r="D39" s="25" t="s">
        <v>96</v>
      </c>
      <c r="E39" s="13" t="s">
        <v>22</v>
      </c>
      <c r="F39" s="13"/>
      <c r="G39" s="13"/>
      <c r="H39" s="13"/>
      <c r="I39" s="13"/>
      <c r="J39" s="13"/>
      <c r="K39" s="13"/>
      <c r="L39" s="44"/>
      <c r="M39" s="13" t="s">
        <v>22</v>
      </c>
      <c r="N39" s="13"/>
      <c r="O39" s="13"/>
      <c r="P39" s="13"/>
      <c r="Q39" s="13"/>
      <c r="R39" s="13"/>
      <c r="S39" s="13"/>
      <c r="T39" s="44"/>
    </row>
    <row r="40" spans="1:20">
      <c r="A40" s="9" t="s">
        <v>97</v>
      </c>
      <c r="B40" s="14">
        <v>9999</v>
      </c>
      <c r="C40" s="11" t="s">
        <v>241</v>
      </c>
      <c r="D40" s="25" t="s">
        <v>98</v>
      </c>
      <c r="E40" s="13" t="s">
        <v>22</v>
      </c>
      <c r="F40" s="13"/>
      <c r="G40" s="13"/>
      <c r="H40" s="13"/>
      <c r="I40" s="13"/>
      <c r="J40" s="13"/>
      <c r="K40" s="13"/>
      <c r="L40" s="44"/>
      <c r="M40" s="13" t="s">
        <v>22</v>
      </c>
      <c r="N40" s="13"/>
      <c r="O40" s="13"/>
      <c r="P40" s="13"/>
      <c r="Q40" s="13"/>
      <c r="R40" s="13"/>
      <c r="S40" s="13"/>
      <c r="T40" s="44"/>
    </row>
    <row r="41" spans="1:20">
      <c r="A41" s="9" t="s">
        <v>99</v>
      </c>
      <c r="B41" s="14">
        <v>9999</v>
      </c>
      <c r="C41" s="11" t="s">
        <v>241</v>
      </c>
      <c r="D41" s="25" t="s">
        <v>100</v>
      </c>
      <c r="E41" s="13" t="s">
        <v>27</v>
      </c>
      <c r="F41" s="13" t="s">
        <v>28</v>
      </c>
      <c r="G41" s="13"/>
      <c r="H41" s="13"/>
      <c r="I41" s="13">
        <v>1</v>
      </c>
      <c r="J41" s="13">
        <v>0</v>
      </c>
      <c r="K41" s="13">
        <v>0</v>
      </c>
      <c r="L41" s="44" t="s">
        <v>258</v>
      </c>
      <c r="M41" s="13" t="s">
        <v>27</v>
      </c>
      <c r="N41" s="13" t="s">
        <v>28</v>
      </c>
      <c r="O41" s="13"/>
      <c r="P41" s="13"/>
      <c r="Q41" s="13">
        <v>1</v>
      </c>
      <c r="R41" s="13">
        <v>0</v>
      </c>
      <c r="S41" s="13">
        <v>0</v>
      </c>
      <c r="T41" s="44" t="s">
        <v>258</v>
      </c>
    </row>
    <row r="42" spans="1:20">
      <c r="A42" s="9" t="s">
        <v>101</v>
      </c>
      <c r="B42" s="14">
        <v>9999</v>
      </c>
      <c r="C42" s="11" t="s">
        <v>241</v>
      </c>
      <c r="D42" s="25" t="s">
        <v>102</v>
      </c>
      <c r="E42" s="13" t="s">
        <v>27</v>
      </c>
      <c r="F42" s="13" t="s">
        <v>28</v>
      </c>
      <c r="G42" s="13"/>
      <c r="H42" s="13"/>
      <c r="I42" s="13">
        <v>1</v>
      </c>
      <c r="J42" s="13">
        <v>0</v>
      </c>
      <c r="K42" s="13">
        <v>0</v>
      </c>
      <c r="L42" s="44" t="s">
        <v>217</v>
      </c>
      <c r="M42" s="13" t="s">
        <v>27</v>
      </c>
      <c r="N42" s="13" t="s">
        <v>28</v>
      </c>
      <c r="O42" s="13"/>
      <c r="P42" s="13"/>
      <c r="Q42" s="13">
        <v>1</v>
      </c>
      <c r="R42" s="13">
        <v>0</v>
      </c>
      <c r="S42" s="13">
        <v>0</v>
      </c>
      <c r="T42" s="44" t="s">
        <v>217</v>
      </c>
    </row>
    <row r="43" spans="1:20">
      <c r="A43" s="9" t="s">
        <v>103</v>
      </c>
      <c r="B43" s="14">
        <v>9999</v>
      </c>
      <c r="C43" s="11" t="s">
        <v>241</v>
      </c>
      <c r="D43" s="24" t="s">
        <v>104</v>
      </c>
      <c r="E43" s="13" t="s">
        <v>27</v>
      </c>
      <c r="F43" s="13" t="s">
        <v>28</v>
      </c>
      <c r="G43" s="13"/>
      <c r="H43" s="13"/>
      <c r="I43" s="13">
        <v>-1</v>
      </c>
      <c r="J43" s="13">
        <v>0</v>
      </c>
      <c r="K43" s="13">
        <v>1</v>
      </c>
      <c r="L43" s="44" t="s">
        <v>259</v>
      </c>
      <c r="M43" s="13" t="s">
        <v>27</v>
      </c>
      <c r="N43" s="13" t="s">
        <v>28</v>
      </c>
      <c r="O43" s="13"/>
      <c r="P43" s="13"/>
      <c r="Q43" s="13">
        <v>-1</v>
      </c>
      <c r="R43" s="13">
        <v>0</v>
      </c>
      <c r="S43" s="13">
        <v>1</v>
      </c>
      <c r="T43" s="44" t="s">
        <v>259</v>
      </c>
    </row>
    <row r="44" spans="1:20">
      <c r="A44" s="9" t="s">
        <v>105</v>
      </c>
      <c r="B44" s="14">
        <v>9999</v>
      </c>
      <c r="C44" s="11" t="s">
        <v>241</v>
      </c>
      <c r="D44" s="24" t="s">
        <v>106</v>
      </c>
      <c r="E44" s="13" t="s">
        <v>22</v>
      </c>
      <c r="F44" s="13"/>
      <c r="G44" s="13"/>
      <c r="H44" s="13"/>
      <c r="I44" s="13"/>
      <c r="J44" s="13"/>
      <c r="K44" s="13"/>
      <c r="L44" s="44"/>
      <c r="M44" s="13" t="s">
        <v>22</v>
      </c>
      <c r="N44" s="13"/>
      <c r="O44" s="13"/>
      <c r="P44" s="13"/>
      <c r="Q44" s="13"/>
      <c r="R44" s="13"/>
      <c r="S44" s="13"/>
      <c r="T44" s="44"/>
    </row>
    <row r="45" spans="1:20">
      <c r="A45" s="9" t="s">
        <v>107</v>
      </c>
      <c r="B45" s="14">
        <v>9999</v>
      </c>
      <c r="C45" s="11" t="s">
        <v>241</v>
      </c>
      <c r="D45" s="26" t="s">
        <v>108</v>
      </c>
      <c r="E45" s="13" t="s">
        <v>27</v>
      </c>
      <c r="F45" s="13" t="s">
        <v>28</v>
      </c>
      <c r="G45" s="13">
        <v>1000</v>
      </c>
      <c r="H45" s="13"/>
      <c r="I45" s="13"/>
      <c r="J45" s="13"/>
      <c r="K45" s="13"/>
      <c r="L45" s="44" t="s">
        <v>217</v>
      </c>
      <c r="M45" s="13" t="s">
        <v>27</v>
      </c>
      <c r="N45" s="13" t="s">
        <v>28</v>
      </c>
      <c r="O45" s="13">
        <v>1000</v>
      </c>
      <c r="P45" s="13"/>
      <c r="Q45" s="13"/>
      <c r="R45" s="13"/>
      <c r="S45" s="13"/>
      <c r="T45" s="44" t="s">
        <v>217</v>
      </c>
    </row>
    <row r="46" spans="1:20">
      <c r="A46" s="9" t="s">
        <v>109</v>
      </c>
      <c r="B46" s="14">
        <v>9999</v>
      </c>
      <c r="C46" s="11" t="s">
        <v>241</v>
      </c>
      <c r="D46" s="27" t="s">
        <v>110</v>
      </c>
      <c r="E46" s="13" t="s">
        <v>27</v>
      </c>
      <c r="F46" s="17"/>
      <c r="G46" s="13">
        <v>0</v>
      </c>
      <c r="H46" s="13"/>
      <c r="I46" s="13"/>
      <c r="J46" s="13"/>
      <c r="K46" s="13"/>
      <c r="L46" s="44"/>
      <c r="M46" s="13" t="s">
        <v>27</v>
      </c>
      <c r="N46" s="17"/>
      <c r="O46" s="13">
        <v>0</v>
      </c>
      <c r="P46" s="13"/>
      <c r="Q46" s="13"/>
      <c r="R46" s="13"/>
      <c r="S46" s="13"/>
      <c r="T46" s="44"/>
    </row>
    <row r="47" spans="1:20">
      <c r="A47" s="9" t="s">
        <v>111</v>
      </c>
      <c r="B47" s="14">
        <v>9999</v>
      </c>
      <c r="C47" s="11" t="s">
        <v>241</v>
      </c>
      <c r="D47" s="28" t="s">
        <v>112</v>
      </c>
      <c r="E47" s="13" t="s">
        <v>27</v>
      </c>
      <c r="F47" s="17"/>
      <c r="G47" s="13"/>
      <c r="H47" s="13"/>
      <c r="I47" s="13"/>
      <c r="J47" s="13"/>
      <c r="K47" s="13"/>
      <c r="L47" s="44"/>
      <c r="M47" s="13" t="s">
        <v>27</v>
      </c>
      <c r="N47" s="17"/>
      <c r="O47" s="13"/>
      <c r="P47" s="13"/>
      <c r="Q47" s="13"/>
      <c r="R47" s="13"/>
      <c r="S47" s="13"/>
      <c r="T47" s="44"/>
    </row>
    <row r="48" spans="1:20">
      <c r="A48" s="9" t="s">
        <v>113</v>
      </c>
      <c r="B48" s="14">
        <v>9999</v>
      </c>
      <c r="C48" s="11" t="s">
        <v>241</v>
      </c>
      <c r="D48" s="28" t="s">
        <v>114</v>
      </c>
      <c r="E48" s="13" t="s">
        <v>27</v>
      </c>
      <c r="F48" s="17"/>
      <c r="G48" s="13"/>
      <c r="H48" s="13"/>
      <c r="I48" s="13"/>
      <c r="J48" s="13"/>
      <c r="K48" s="13"/>
      <c r="L48" s="44"/>
      <c r="M48" s="13" t="s">
        <v>27</v>
      </c>
      <c r="N48" s="17"/>
      <c r="O48" s="13"/>
      <c r="P48" s="13"/>
      <c r="Q48" s="13"/>
      <c r="R48" s="13"/>
      <c r="S48" s="13"/>
      <c r="T48" s="44"/>
    </row>
    <row r="49" spans="1:20">
      <c r="A49" s="9" t="s">
        <v>115</v>
      </c>
      <c r="B49" s="14">
        <v>9999</v>
      </c>
      <c r="C49" s="11" t="s">
        <v>241</v>
      </c>
      <c r="D49" s="28" t="s">
        <v>116</v>
      </c>
      <c r="E49" s="13" t="s">
        <v>27</v>
      </c>
      <c r="F49" s="17"/>
      <c r="G49" s="13"/>
      <c r="H49" s="13"/>
      <c r="I49" s="13"/>
      <c r="J49" s="13"/>
      <c r="K49" s="13"/>
      <c r="L49" s="44"/>
      <c r="M49" s="13" t="s">
        <v>27</v>
      </c>
      <c r="N49" s="17"/>
      <c r="O49" s="13"/>
      <c r="P49" s="13"/>
      <c r="Q49" s="13"/>
      <c r="R49" s="13"/>
      <c r="S49" s="13"/>
      <c r="T49" s="44"/>
    </row>
    <row r="50" spans="1:20">
      <c r="A50" s="9" t="s">
        <v>117</v>
      </c>
      <c r="B50" s="14">
        <v>9999</v>
      </c>
      <c r="C50" s="11" t="s">
        <v>241</v>
      </c>
      <c r="D50" s="28" t="s">
        <v>118</v>
      </c>
      <c r="E50" s="13" t="s">
        <v>27</v>
      </c>
      <c r="F50" s="17"/>
      <c r="G50" s="13"/>
      <c r="H50" s="13"/>
      <c r="I50" s="13"/>
      <c r="J50" s="13"/>
      <c r="K50" s="13"/>
      <c r="L50" s="44"/>
      <c r="M50" s="13" t="s">
        <v>27</v>
      </c>
      <c r="N50" s="17"/>
      <c r="O50" s="13"/>
      <c r="P50" s="13"/>
      <c r="Q50" s="13"/>
      <c r="R50" s="13"/>
      <c r="S50" s="13"/>
      <c r="T50" s="44"/>
    </row>
    <row r="51" spans="1:20">
      <c r="A51" s="29" t="s">
        <v>119</v>
      </c>
      <c r="B51" s="14">
        <v>9999</v>
      </c>
      <c r="C51" s="11" t="s">
        <v>241</v>
      </c>
      <c r="D51" s="28" t="s">
        <v>120</v>
      </c>
      <c r="E51" s="13" t="s">
        <v>22</v>
      </c>
      <c r="F51" s="13"/>
      <c r="G51" s="13"/>
      <c r="H51" s="13"/>
      <c r="I51" s="13"/>
      <c r="J51" s="13"/>
      <c r="K51" s="13"/>
      <c r="L51" s="44"/>
      <c r="M51" s="13" t="s">
        <v>22</v>
      </c>
      <c r="N51" s="13"/>
      <c r="O51" s="13"/>
      <c r="P51" s="13"/>
      <c r="Q51" s="13"/>
      <c r="R51" s="13"/>
      <c r="S51" s="13"/>
      <c r="T51" s="44"/>
    </row>
    <row r="52" spans="1:20">
      <c r="A52" s="30" t="s">
        <v>121</v>
      </c>
      <c r="B52" s="14">
        <v>9999</v>
      </c>
      <c r="C52" s="11" t="s">
        <v>241</v>
      </c>
      <c r="D52" s="28" t="s">
        <v>122</v>
      </c>
      <c r="E52" s="13" t="s">
        <v>22</v>
      </c>
      <c r="F52" s="13"/>
      <c r="G52" s="13"/>
      <c r="H52" s="13"/>
      <c r="I52" s="13"/>
      <c r="J52" s="13"/>
      <c r="K52" s="13"/>
      <c r="L52" s="44"/>
      <c r="M52" s="13" t="s">
        <v>22</v>
      </c>
      <c r="N52" s="13"/>
      <c r="O52" s="13"/>
      <c r="P52" s="13"/>
      <c r="Q52" s="13"/>
      <c r="R52" s="13"/>
      <c r="S52" s="13"/>
      <c r="T52" s="44"/>
    </row>
    <row r="53" spans="1:20">
      <c r="A53" s="30" t="s">
        <v>123</v>
      </c>
      <c r="B53" s="14">
        <v>9999</v>
      </c>
      <c r="C53" s="11" t="s">
        <v>241</v>
      </c>
      <c r="D53" s="28" t="s">
        <v>124</v>
      </c>
      <c r="E53" s="13" t="s">
        <v>22</v>
      </c>
      <c r="F53" s="13"/>
      <c r="G53" s="13"/>
      <c r="H53" s="13"/>
      <c r="I53" s="13"/>
      <c r="J53" s="13"/>
      <c r="K53" s="13"/>
      <c r="L53" s="44"/>
      <c r="M53" s="13" t="s">
        <v>22</v>
      </c>
      <c r="N53" s="13"/>
      <c r="O53" s="13"/>
      <c r="P53" s="13"/>
      <c r="Q53" s="13"/>
      <c r="R53" s="13"/>
      <c r="S53" s="13"/>
      <c r="T53" s="44"/>
    </row>
    <row r="54" spans="1:20">
      <c r="A54" s="30" t="s">
        <v>125</v>
      </c>
      <c r="B54" s="14">
        <v>9999</v>
      </c>
      <c r="C54" s="11" t="s">
        <v>241</v>
      </c>
      <c r="D54" s="31" t="s">
        <v>126</v>
      </c>
      <c r="E54" s="13" t="s">
        <v>22</v>
      </c>
      <c r="F54" s="13"/>
      <c r="G54" s="13"/>
      <c r="H54" s="13"/>
      <c r="I54" s="13"/>
      <c r="J54" s="13"/>
      <c r="K54" s="13"/>
      <c r="L54" s="44"/>
      <c r="M54" s="13" t="s">
        <v>22</v>
      </c>
      <c r="N54" s="13"/>
      <c r="O54" s="13"/>
      <c r="P54" s="13"/>
      <c r="Q54" s="13"/>
      <c r="R54" s="13"/>
      <c r="S54" s="13"/>
      <c r="T54" s="44"/>
    </row>
    <row r="55" spans="1:20">
      <c r="A55" s="30" t="s">
        <v>127</v>
      </c>
      <c r="B55" s="14">
        <v>9999</v>
      </c>
      <c r="C55" s="11" t="s">
        <v>241</v>
      </c>
      <c r="D55" s="31" t="s">
        <v>128</v>
      </c>
      <c r="E55" s="13" t="s">
        <v>22</v>
      </c>
      <c r="F55" s="13"/>
      <c r="G55" s="13"/>
      <c r="H55" s="13"/>
      <c r="I55" s="13"/>
      <c r="J55" s="13"/>
      <c r="K55" s="13"/>
      <c r="L55" s="44"/>
      <c r="M55" s="13" t="s">
        <v>22</v>
      </c>
      <c r="N55" s="13"/>
      <c r="O55" s="13"/>
      <c r="P55" s="13"/>
      <c r="Q55" s="13"/>
      <c r="R55" s="13"/>
      <c r="S55" s="13"/>
      <c r="T55" s="44"/>
    </row>
    <row r="56" spans="1:20">
      <c r="A56" s="30" t="s">
        <v>129</v>
      </c>
      <c r="B56" s="14">
        <v>9999</v>
      </c>
      <c r="C56" s="11" t="s">
        <v>241</v>
      </c>
      <c r="D56" s="31" t="s">
        <v>130</v>
      </c>
      <c r="E56" s="13" t="s">
        <v>22</v>
      </c>
      <c r="F56" s="17"/>
      <c r="G56" s="13"/>
      <c r="H56" s="13"/>
      <c r="I56" s="13"/>
      <c r="J56" s="13"/>
      <c r="K56" s="13"/>
      <c r="L56" s="44"/>
      <c r="M56" s="13" t="s">
        <v>22</v>
      </c>
      <c r="N56" s="17"/>
      <c r="O56" s="13"/>
      <c r="P56" s="13"/>
      <c r="Q56" s="13"/>
      <c r="R56" s="13"/>
      <c r="S56" s="13"/>
      <c r="T56" s="44"/>
    </row>
    <row r="57" spans="1:20">
      <c r="A57" s="30" t="s">
        <v>131</v>
      </c>
      <c r="B57" s="14">
        <v>9999</v>
      </c>
      <c r="C57" s="11" t="s">
        <v>241</v>
      </c>
      <c r="D57" s="26" t="s">
        <v>132</v>
      </c>
      <c r="E57" s="13" t="s">
        <v>22</v>
      </c>
      <c r="F57" s="13"/>
      <c r="G57" s="13"/>
      <c r="H57" s="13"/>
      <c r="I57" s="13"/>
      <c r="J57" s="13"/>
      <c r="K57" s="13"/>
      <c r="L57" s="44"/>
      <c r="M57" s="13" t="s">
        <v>22</v>
      </c>
      <c r="N57" s="13"/>
      <c r="O57" s="13"/>
      <c r="P57" s="13"/>
      <c r="Q57" s="13"/>
      <c r="R57" s="13"/>
      <c r="S57" s="13"/>
      <c r="T57" s="44"/>
    </row>
    <row r="58" spans="1:20">
      <c r="A58" s="30" t="s">
        <v>133</v>
      </c>
      <c r="B58" s="14">
        <v>9999</v>
      </c>
      <c r="C58" s="11" t="s">
        <v>241</v>
      </c>
      <c r="D58" s="32" t="s">
        <v>134</v>
      </c>
      <c r="E58" s="13" t="s">
        <v>22</v>
      </c>
      <c r="F58" s="13"/>
      <c r="G58" s="13"/>
      <c r="H58" s="13"/>
      <c r="I58" s="13"/>
      <c r="J58" s="13"/>
      <c r="K58" s="13"/>
      <c r="L58" s="44"/>
      <c r="M58" s="13" t="s">
        <v>22</v>
      </c>
      <c r="N58" s="13"/>
      <c r="O58" s="13"/>
      <c r="P58" s="13"/>
      <c r="Q58" s="13"/>
      <c r="R58" s="13"/>
      <c r="S58" s="13"/>
      <c r="T58" s="44"/>
    </row>
    <row r="59" spans="1:20">
      <c r="A59" s="30" t="s">
        <v>135</v>
      </c>
      <c r="B59" s="14">
        <v>9999</v>
      </c>
      <c r="C59" s="11" t="s">
        <v>241</v>
      </c>
      <c r="D59" s="22" t="s">
        <v>136</v>
      </c>
      <c r="E59" s="13" t="s">
        <v>22</v>
      </c>
      <c r="F59" s="13"/>
      <c r="G59" s="13"/>
      <c r="H59" s="13"/>
      <c r="I59" s="13"/>
      <c r="J59" s="13"/>
      <c r="K59" s="13"/>
      <c r="L59" s="44"/>
      <c r="M59" s="13" t="s">
        <v>22</v>
      </c>
      <c r="N59" s="13"/>
      <c r="O59" s="13"/>
      <c r="P59" s="13"/>
      <c r="Q59" s="13"/>
      <c r="R59" s="13"/>
      <c r="S59" s="13"/>
      <c r="T59" s="44"/>
    </row>
    <row r="60" spans="1:20">
      <c r="A60" s="30" t="s">
        <v>137</v>
      </c>
      <c r="B60" s="14">
        <v>9999</v>
      </c>
      <c r="C60" s="11" t="s">
        <v>241</v>
      </c>
      <c r="D60" s="22" t="s">
        <v>138</v>
      </c>
      <c r="E60" s="13" t="s">
        <v>22</v>
      </c>
      <c r="F60" s="13"/>
      <c r="G60" s="13"/>
      <c r="H60" s="13"/>
      <c r="I60" s="13"/>
      <c r="J60" s="13"/>
      <c r="K60" s="13"/>
      <c r="L60" s="44"/>
      <c r="M60" s="13" t="s">
        <v>22</v>
      </c>
      <c r="N60" s="13"/>
      <c r="O60" s="13"/>
      <c r="P60" s="13"/>
      <c r="Q60" s="13"/>
      <c r="R60" s="13"/>
      <c r="S60" s="13"/>
      <c r="T60" s="44"/>
    </row>
    <row r="61" spans="1:20">
      <c r="A61" s="9" t="s">
        <v>139</v>
      </c>
      <c r="B61" s="14">
        <v>9999</v>
      </c>
      <c r="C61" s="11" t="s">
        <v>241</v>
      </c>
      <c r="D61" s="33" t="s">
        <v>140</v>
      </c>
      <c r="E61" s="13" t="s">
        <v>22</v>
      </c>
      <c r="F61" s="13"/>
      <c r="G61" s="13"/>
      <c r="H61" s="13"/>
      <c r="I61" s="13"/>
      <c r="J61" s="13"/>
      <c r="K61" s="13"/>
      <c r="L61" s="44"/>
      <c r="M61" s="13" t="s">
        <v>22</v>
      </c>
      <c r="N61" s="13"/>
      <c r="O61" s="13"/>
      <c r="P61" s="13"/>
      <c r="Q61" s="13"/>
      <c r="R61" s="13"/>
      <c r="S61" s="13"/>
      <c r="T61" s="44"/>
    </row>
    <row r="62" spans="1:20">
      <c r="A62" s="9" t="s">
        <v>141</v>
      </c>
      <c r="B62" s="14">
        <v>9999</v>
      </c>
      <c r="C62" s="11" t="s">
        <v>241</v>
      </c>
      <c r="D62" s="33" t="s">
        <v>142</v>
      </c>
      <c r="E62" s="13" t="s">
        <v>22</v>
      </c>
      <c r="F62" s="13"/>
      <c r="G62" s="13"/>
      <c r="H62" s="13"/>
      <c r="I62" s="13"/>
      <c r="J62" s="13"/>
      <c r="K62" s="13"/>
      <c r="L62" s="44"/>
      <c r="M62" s="13" t="s">
        <v>22</v>
      </c>
      <c r="N62" s="13"/>
      <c r="O62" s="13"/>
      <c r="P62" s="13"/>
      <c r="Q62" s="13"/>
      <c r="R62" s="13"/>
      <c r="S62" s="13"/>
      <c r="T62" s="44"/>
    </row>
    <row r="63" spans="1:20">
      <c r="A63" s="9" t="s">
        <v>143</v>
      </c>
      <c r="B63" s="14">
        <v>9999</v>
      </c>
      <c r="C63" s="11" t="s">
        <v>241</v>
      </c>
      <c r="D63" s="33" t="s">
        <v>144</v>
      </c>
      <c r="E63" s="13" t="s">
        <v>22</v>
      </c>
      <c r="F63" s="13"/>
      <c r="G63" s="13"/>
      <c r="H63" s="13"/>
      <c r="I63" s="13"/>
      <c r="J63" s="13"/>
      <c r="K63" s="13"/>
      <c r="L63" s="44"/>
      <c r="M63" s="13" t="s">
        <v>22</v>
      </c>
      <c r="N63" s="13"/>
      <c r="O63" s="13"/>
      <c r="P63" s="13"/>
      <c r="Q63" s="13"/>
      <c r="R63" s="13"/>
      <c r="S63" s="13"/>
      <c r="T63" s="44"/>
    </row>
    <row r="64" spans="1:20">
      <c r="A64" s="9" t="s">
        <v>145</v>
      </c>
      <c r="B64" s="14">
        <v>9999</v>
      </c>
      <c r="C64" s="11" t="s">
        <v>241</v>
      </c>
      <c r="D64" s="33" t="s">
        <v>146</v>
      </c>
      <c r="E64" s="13" t="s">
        <v>22</v>
      </c>
      <c r="F64" s="13"/>
      <c r="G64" s="13"/>
      <c r="H64" s="13"/>
      <c r="I64" s="13"/>
      <c r="J64" s="13"/>
      <c r="K64" s="13"/>
      <c r="L64" s="44"/>
      <c r="M64" s="13" t="s">
        <v>22</v>
      </c>
      <c r="N64" s="13"/>
      <c r="O64" s="13"/>
      <c r="P64" s="13"/>
      <c r="Q64" s="13"/>
      <c r="R64" s="13"/>
      <c r="S64" s="13"/>
      <c r="T64" s="44"/>
    </row>
    <row r="65" spans="1:20">
      <c r="A65" s="9" t="s">
        <v>147</v>
      </c>
      <c r="B65" s="14">
        <v>9999</v>
      </c>
      <c r="C65" s="11" t="s">
        <v>241</v>
      </c>
      <c r="D65" s="33" t="s">
        <v>148</v>
      </c>
      <c r="E65" s="13" t="s">
        <v>22</v>
      </c>
      <c r="F65" s="13"/>
      <c r="G65" s="13"/>
      <c r="H65" s="13"/>
      <c r="I65" s="13"/>
      <c r="J65" s="13"/>
      <c r="K65" s="13"/>
      <c r="L65" s="44"/>
      <c r="M65" s="13" t="s">
        <v>22</v>
      </c>
      <c r="N65" s="13"/>
      <c r="O65" s="13"/>
      <c r="P65" s="13"/>
      <c r="Q65" s="13"/>
      <c r="R65" s="13"/>
      <c r="S65" s="13"/>
      <c r="T65" s="44"/>
    </row>
    <row r="66" spans="1:20">
      <c r="A66" s="9" t="s">
        <v>149</v>
      </c>
      <c r="B66" s="14">
        <v>9999</v>
      </c>
      <c r="C66" s="11" t="s">
        <v>241</v>
      </c>
      <c r="D66" s="33" t="s">
        <v>150</v>
      </c>
      <c r="E66" s="13" t="s">
        <v>22</v>
      </c>
      <c r="F66" s="13"/>
      <c r="G66" s="13"/>
      <c r="H66" s="13"/>
      <c r="I66" s="13"/>
      <c r="J66" s="13"/>
      <c r="K66" s="13"/>
      <c r="L66" s="44"/>
      <c r="M66" s="13" t="s">
        <v>22</v>
      </c>
      <c r="N66" s="13"/>
      <c r="O66" s="13"/>
      <c r="P66" s="13"/>
      <c r="Q66" s="13"/>
      <c r="R66" s="13"/>
      <c r="S66" s="13"/>
      <c r="T66" s="44"/>
    </row>
    <row r="67" spans="1:20">
      <c r="A67" s="9" t="s">
        <v>151</v>
      </c>
      <c r="B67" s="14">
        <v>9999</v>
      </c>
      <c r="C67" s="11" t="s">
        <v>241</v>
      </c>
      <c r="D67" s="33" t="s">
        <v>152</v>
      </c>
      <c r="E67" s="13" t="s">
        <v>22</v>
      </c>
      <c r="F67" s="13"/>
      <c r="G67" s="13"/>
      <c r="H67" s="13"/>
      <c r="I67" s="13"/>
      <c r="J67" s="13"/>
      <c r="K67" s="13"/>
      <c r="L67" s="44"/>
      <c r="M67" s="13" t="s">
        <v>22</v>
      </c>
      <c r="N67" s="13"/>
      <c r="O67" s="13"/>
      <c r="P67" s="13"/>
      <c r="Q67" s="13"/>
      <c r="R67" s="13"/>
      <c r="S67" s="13"/>
      <c r="T67" s="44"/>
    </row>
    <row r="68" spans="1:20">
      <c r="A68" s="9" t="s">
        <v>153</v>
      </c>
      <c r="B68" s="14">
        <v>9999</v>
      </c>
      <c r="C68" s="11" t="s">
        <v>241</v>
      </c>
      <c r="D68" s="33" t="s">
        <v>154</v>
      </c>
      <c r="E68" s="13" t="s">
        <v>22</v>
      </c>
      <c r="F68" s="13"/>
      <c r="G68" s="13"/>
      <c r="H68" s="13"/>
      <c r="I68" s="13"/>
      <c r="J68" s="13"/>
      <c r="K68" s="13"/>
      <c r="L68" s="44"/>
      <c r="M68" s="13" t="s">
        <v>22</v>
      </c>
      <c r="N68" s="13"/>
      <c r="O68" s="13"/>
      <c r="P68" s="13"/>
      <c r="Q68" s="13"/>
      <c r="R68" s="13"/>
      <c r="S68" s="13"/>
      <c r="T68" s="44"/>
    </row>
    <row r="69" spans="1:20">
      <c r="A69" s="9" t="s">
        <v>155</v>
      </c>
      <c r="B69" s="14">
        <v>9999</v>
      </c>
      <c r="C69" s="11" t="s">
        <v>241</v>
      </c>
      <c r="D69" s="33" t="s">
        <v>156</v>
      </c>
      <c r="E69" s="13" t="s">
        <v>22</v>
      </c>
      <c r="F69" s="13"/>
      <c r="G69" s="13"/>
      <c r="H69" s="13"/>
      <c r="I69" s="13"/>
      <c r="J69" s="13"/>
      <c r="K69" s="13"/>
      <c r="L69" s="44"/>
      <c r="M69" s="13" t="s">
        <v>22</v>
      </c>
      <c r="N69" s="13"/>
      <c r="O69" s="13"/>
      <c r="P69" s="13"/>
      <c r="Q69" s="13"/>
      <c r="R69" s="13"/>
      <c r="S69" s="13"/>
      <c r="T69" s="44"/>
    </row>
    <row r="70" spans="1:20">
      <c r="A70" s="9" t="s">
        <v>157</v>
      </c>
      <c r="B70" s="14">
        <v>9999</v>
      </c>
      <c r="C70" s="11" t="s">
        <v>241</v>
      </c>
      <c r="D70" s="33" t="s">
        <v>158</v>
      </c>
      <c r="E70" s="13" t="s">
        <v>22</v>
      </c>
      <c r="F70" s="13"/>
      <c r="G70" s="13"/>
      <c r="H70" s="13"/>
      <c r="I70" s="13"/>
      <c r="J70" s="13"/>
      <c r="K70" s="13"/>
      <c r="L70" s="44"/>
      <c r="M70" s="13" t="s">
        <v>22</v>
      </c>
      <c r="N70" s="13"/>
      <c r="O70" s="13"/>
      <c r="P70" s="13"/>
      <c r="Q70" s="13"/>
      <c r="R70" s="13"/>
      <c r="S70" s="13"/>
      <c r="T70" s="44"/>
    </row>
  </sheetData>
  <dataConsolidate/>
  <conditionalFormatting sqref="E3:E70">
    <cfRule type="cellIs" dxfId="28" priority="2138" operator="equal">
      <formula>"ON"</formula>
    </cfRule>
    <cfRule type="cellIs" dxfId="27" priority="2139" operator="equal">
      <formula>"OFF"</formula>
    </cfRule>
  </conditionalFormatting>
  <conditionalFormatting sqref="E3:F12">
    <cfRule type="cellIs" dxfId="26" priority="1180" operator="equal">
      <formula>"ON"</formula>
    </cfRule>
    <cfRule type="cellIs" dxfId="25" priority="1181" operator="equal">
      <formula>"OFF"</formula>
    </cfRule>
  </conditionalFormatting>
  <conditionalFormatting sqref="E19:F45">
    <cfRule type="cellIs" dxfId="24" priority="2252" operator="equal">
      <formula>"ON"</formula>
    </cfRule>
    <cfRule type="cellIs" dxfId="23" priority="2253" operator="equal">
      <formula>"OFF"</formula>
    </cfRule>
  </conditionalFormatting>
  <conditionalFormatting sqref="E49:F56">
    <cfRule type="cellIs" dxfId="22" priority="2310" operator="equal">
      <formula>"ON"</formula>
    </cfRule>
    <cfRule type="cellIs" dxfId="21" priority="2311" operator="equal">
      <formula>"OFF"</formula>
    </cfRule>
  </conditionalFormatting>
  <conditionalFormatting sqref="E58:F70">
    <cfRule type="cellIs" dxfId="20" priority="2214" operator="equal">
      <formula>"ON"</formula>
    </cfRule>
    <cfRule type="cellIs" dxfId="19" priority="2215" operator="equal">
      <formula>"OFF"</formula>
    </cfRule>
  </conditionalFormatting>
  <conditionalFormatting sqref="F4:F48">
    <cfRule type="cellIs" dxfId="18" priority="1178" operator="equal">
      <formula>"ON"</formula>
    </cfRule>
    <cfRule type="cellIs" dxfId="17" priority="1179" operator="equal">
      <formula>"OFF"</formula>
    </cfRule>
  </conditionalFormatting>
  <conditionalFormatting sqref="F56:F57">
    <cfRule type="cellIs" dxfId="16" priority="2288" operator="equal">
      <formula>"ON"</formula>
    </cfRule>
    <cfRule type="cellIs" dxfId="15" priority="2289" operator="equal">
      <formula>"OFF"</formula>
    </cfRule>
  </conditionalFormatting>
  <conditionalFormatting sqref="M3:M70">
    <cfRule type="cellIs" dxfId="14" priority="962" operator="equal">
      <formula>"ON"</formula>
    </cfRule>
    <cfRule type="cellIs" dxfId="13" priority="963" operator="equal">
      <formula>"OFF"</formula>
    </cfRule>
  </conditionalFormatting>
  <conditionalFormatting sqref="M3:N12">
    <cfRule type="cellIs" dxfId="12" priority="4" operator="equal">
      <formula>"ON"</formula>
    </cfRule>
    <cfRule type="cellIs" dxfId="11" priority="5" operator="equal">
      <formula>"OFF"</formula>
    </cfRule>
  </conditionalFormatting>
  <conditionalFormatting sqref="M19:N45">
    <cfRule type="cellIs" dxfId="10" priority="1076" operator="equal">
      <formula>"ON"</formula>
    </cfRule>
    <cfRule type="cellIs" dxfId="9" priority="1077" operator="equal">
      <formula>"OFF"</formula>
    </cfRule>
  </conditionalFormatting>
  <conditionalFormatting sqref="M49:N56">
    <cfRule type="cellIs" dxfId="8" priority="1134" operator="equal">
      <formula>"ON"</formula>
    </cfRule>
    <cfRule type="cellIs" dxfId="7" priority="1135" operator="equal">
      <formula>"OFF"</formula>
    </cfRule>
  </conditionalFormatting>
  <conditionalFormatting sqref="M58:N70">
    <cfRule type="cellIs" dxfId="6" priority="1038" operator="equal">
      <formula>"ON"</formula>
    </cfRule>
    <cfRule type="cellIs" dxfId="5" priority="1039" operator="equal">
      <formula>"OFF"</formula>
    </cfRule>
  </conditionalFormatting>
  <conditionalFormatting sqref="N4:N48">
    <cfRule type="cellIs" dxfId="4" priority="2" operator="equal">
      <formula>"ON"</formula>
    </cfRule>
    <cfRule type="cellIs" dxfId="3" priority="3" operator="equal">
      <formula>"OFF"</formula>
    </cfRule>
  </conditionalFormatting>
  <conditionalFormatting sqref="N56:N57">
    <cfRule type="cellIs" dxfId="2" priority="1112" operator="equal">
      <formula>"ON"</formula>
    </cfRule>
    <cfRule type="cellIs" dxfId="1" priority="1113" operator="equal">
      <formula>"OFF"</formula>
    </cfRule>
  </conditionalFormatting>
  <conditionalFormatting sqref="N3:N70">
    <cfRule type="expression" dxfId="0" priority="1">
      <formula>AND(M3="ON",N3="NO")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74149-E326-41CC-AB50-5378CB93CEE9}">
  <sheetPr codeName="Ark3"/>
  <dimension ref="A1:F2"/>
  <sheetViews>
    <sheetView workbookViewId="0">
      <selection sqref="A1:E2"/>
    </sheetView>
  </sheetViews>
  <sheetFormatPr defaultRowHeight="14.4"/>
  <cols>
    <col min="1" max="4" width="10.6640625" bestFit="1" customWidth="1"/>
    <col min="5" max="5" width="19" bestFit="1" customWidth="1"/>
    <col min="6" max="8" width="15.5546875" bestFit="1" customWidth="1"/>
    <col min="9" max="9" width="48.109375" bestFit="1" customWidth="1"/>
    <col min="10" max="10" width="16.109375" bestFit="1" customWidth="1"/>
    <col min="11" max="11" width="16.44140625" bestFit="1" customWidth="1"/>
    <col min="12" max="12" width="17.6640625" bestFit="1" customWidth="1"/>
    <col min="13" max="13" width="21.77734375" customWidth="1"/>
    <col min="14" max="14" width="17.88671875" bestFit="1" customWidth="1"/>
    <col min="15" max="15" width="17.109375" bestFit="1" customWidth="1"/>
    <col min="16" max="16" width="16.109375" bestFit="1" customWidth="1"/>
    <col min="17" max="17" width="48.109375" bestFit="1" customWidth="1"/>
  </cols>
  <sheetData>
    <row r="1" spans="1:6" ht="40.799999999999997" thickBot="1">
      <c r="A1" s="35" t="s">
        <v>1</v>
      </c>
      <c r="B1" s="36" t="s">
        <v>2</v>
      </c>
      <c r="C1" s="36" t="s">
        <v>192</v>
      </c>
      <c r="D1" s="36" t="s">
        <v>193</v>
      </c>
      <c r="E1" t="s">
        <v>194</v>
      </c>
      <c r="F1" t="s">
        <v>237</v>
      </c>
    </row>
    <row r="2" spans="1:6">
      <c r="A2" s="49">
        <v>9999</v>
      </c>
      <c r="B2" s="41" t="s">
        <v>241</v>
      </c>
      <c r="C2" s="42" t="b">
        <v>1</v>
      </c>
      <c r="D2" s="42" t="b">
        <v>1</v>
      </c>
      <c r="E2" s="40" t="s">
        <v>251</v>
      </c>
      <c r="F2" t="s">
        <v>238</v>
      </c>
    </row>
  </sheetData>
  <dataConsolidate/>
  <phoneticPr fontId="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D8EFB-EECE-4A94-BF40-D36E67ECE5C5}">
  <sheetPr codeName="Ark7"/>
  <dimension ref="A1:D7"/>
  <sheetViews>
    <sheetView workbookViewId="0">
      <selection activeCell="D7" sqref="D7"/>
    </sheetView>
  </sheetViews>
  <sheetFormatPr defaultRowHeight="14.4"/>
  <cols>
    <col min="1" max="1" width="9.109375" customWidth="1"/>
    <col min="2" max="2" width="10.33203125" bestFit="1" customWidth="1"/>
    <col min="3" max="3" width="15.109375" bestFit="1" customWidth="1"/>
    <col min="4" max="4" width="66.5546875" bestFit="1" customWidth="1"/>
  </cols>
  <sheetData>
    <row r="1" spans="1:4" ht="15" thickBot="1">
      <c r="A1" s="58" t="s">
        <v>207</v>
      </c>
      <c r="B1" s="59" t="s">
        <v>208</v>
      </c>
      <c r="C1" s="59" t="s">
        <v>209</v>
      </c>
      <c r="D1" s="60" t="s">
        <v>210</v>
      </c>
    </row>
    <row r="2" spans="1:4">
      <c r="A2" s="56" t="s">
        <v>211</v>
      </c>
      <c r="B2" s="45">
        <v>45842</v>
      </c>
      <c r="C2" s="46" t="s">
        <v>212</v>
      </c>
      <c r="D2" s="47" t="s">
        <v>213</v>
      </c>
    </row>
    <row r="3" spans="1:4" ht="28.8">
      <c r="A3" s="57" t="s">
        <v>218</v>
      </c>
      <c r="B3" s="45">
        <v>45852</v>
      </c>
      <c r="C3" s="46" t="s">
        <v>212</v>
      </c>
      <c r="D3" s="51" t="s">
        <v>219</v>
      </c>
    </row>
    <row r="4" spans="1:4">
      <c r="A4" s="57" t="s">
        <v>220</v>
      </c>
      <c r="B4" s="45">
        <v>45880</v>
      </c>
      <c r="C4" s="53" t="s">
        <v>212</v>
      </c>
      <c r="D4" s="53" t="s">
        <v>221</v>
      </c>
    </row>
    <row r="5" spans="1:4">
      <c r="A5" s="57" t="s">
        <v>226</v>
      </c>
      <c r="B5" s="45">
        <v>45946</v>
      </c>
      <c r="C5" s="53" t="s">
        <v>212</v>
      </c>
      <c r="D5" s="53" t="s">
        <v>227</v>
      </c>
    </row>
    <row r="6" spans="1:4">
      <c r="A6" s="57" t="s">
        <v>228</v>
      </c>
      <c r="B6" s="45">
        <v>45947</v>
      </c>
      <c r="C6" s="53" t="s">
        <v>212</v>
      </c>
      <c r="D6" s="53" t="s">
        <v>229</v>
      </c>
    </row>
    <row r="7" spans="1:4">
      <c r="A7" s="63" t="s">
        <v>260</v>
      </c>
      <c r="B7" s="61">
        <v>45960</v>
      </c>
      <c r="C7" s="62" t="s">
        <v>212</v>
      </c>
      <c r="D7" s="62" t="s">
        <v>261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940A3A7B41932468A880A5BF4D18DA6" ma:contentTypeVersion="17" ma:contentTypeDescription="Opret et nyt dokument." ma:contentTypeScope="" ma:versionID="b1a94fbf566a47c20c062b234d5250f0">
  <xsd:schema xmlns:xsd="http://www.w3.org/2001/XMLSchema" xmlns:xs="http://www.w3.org/2001/XMLSchema" xmlns:p="http://schemas.microsoft.com/office/2006/metadata/properties" xmlns:ns3="bc414fc8-bf69-4742-bd98-361da4e56ac1" xmlns:ns4="9158d48b-6852-42de-8eed-68e7c072dffc" targetNamespace="http://schemas.microsoft.com/office/2006/metadata/properties" ma:root="true" ma:fieldsID="4a70bb5d1c8708ee75a176198d6b1b11" ns3:_="" ns4:_="">
    <xsd:import namespace="bc414fc8-bf69-4742-bd98-361da4e56ac1"/>
    <xsd:import namespace="9158d48b-6852-42de-8eed-68e7c072dff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earchProperties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414fc8-bf69-4742-bd98-361da4e56a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58d48b-6852-42de-8eed-68e7c072dff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lt med detaljer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værdi for deling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c414fc8-bf69-4742-bd98-361da4e56ac1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BF417A2C-EBDF-44A8-B994-7450103725B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414fc8-bf69-4742-bd98-361da4e56ac1"/>
    <ds:schemaRef ds:uri="9158d48b-6852-42de-8eed-68e7c072df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CC79152-3B71-4DB5-96C8-FA02DEA4AED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B923563-DB5D-4EC3-BFAB-272CBFE68AE9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9158d48b-6852-42de-8eed-68e7c072dffc"/>
    <ds:schemaRef ds:uri="bc414fc8-bf69-4742-bd98-361da4e56ac1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E1AA518E-4BEF-40D4-873C-5BAEB510A798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f79d73b-6a7a-4260-851c-2db4f77b37d6}" enabled="1" method="Standard" siteId="{2e93f0ed-ff36-46d4-9ce6-e0d902050cf5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5</vt:i4>
      </vt:variant>
    </vt:vector>
  </HeadingPairs>
  <TitlesOfParts>
    <vt:vector size="5" baseType="lpstr">
      <vt:lpstr>Start</vt:lpstr>
      <vt:lpstr>Formulering</vt:lpstr>
      <vt:lpstr>Configuration</vt:lpstr>
      <vt:lpstr>Specification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Petersen</dc:creator>
  <cp:lastModifiedBy>Thomas Petersen</cp:lastModifiedBy>
  <dcterms:created xsi:type="dcterms:W3CDTF">2025-06-25T13:02:13Z</dcterms:created>
  <dcterms:modified xsi:type="dcterms:W3CDTF">2025-10-30T14:00:56Z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0x0101003940A3A7B41932468A880A5BF4D18DA6</vt:lpwstr>
  </property>
</Properties>
</file>